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joaberchel\Documents\GitHub\P_Bulles_Snake_JavaScript\doc\"/>
    </mc:Choice>
  </mc:AlternateContent>
  <bookViews>
    <workbookView xWindow="0" yWindow="0" windowWidth="25125" windowHeight="123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5" i="12"/>
  <c r="C4" i="12"/>
  <c r="C6" i="12"/>
  <c r="C7" i="12"/>
  <c r="C8" i="12"/>
  <c r="C12" i="12"/>
  <c r="C9" i="12"/>
  <c r="B24" i="12" l="1"/>
  <c r="C23" i="12"/>
  <c r="C22" i="12"/>
  <c r="C16" i="12"/>
  <c r="C17" i="12"/>
  <c r="C18" i="12"/>
  <c r="C20" i="12"/>
  <c r="C19" i="12"/>
  <c r="C24" i="12"/>
  <c r="C21" i="12"/>
  <c r="B36" i="12" l="1"/>
  <c r="C35" i="12"/>
  <c r="C34" i="12"/>
  <c r="C33" i="12"/>
  <c r="C32" i="12"/>
  <c r="C31" i="12"/>
  <c r="C30" i="12"/>
  <c r="C29" i="12"/>
  <c r="C28" i="12"/>
  <c r="C36" i="12"/>
  <c r="B48" i="12" l="1"/>
  <c r="C47" i="12"/>
  <c r="C46" i="12"/>
  <c r="C45" i="12"/>
  <c r="C44" i="12"/>
  <c r="C43" i="12"/>
  <c r="C40" i="12"/>
  <c r="C42" i="12"/>
  <c r="C41" i="12"/>
  <c r="C48" i="12"/>
  <c r="B60" i="12" l="1"/>
  <c r="C59" i="12"/>
  <c r="C58" i="12"/>
  <c r="C57" i="12"/>
  <c r="C56" i="12"/>
  <c r="C54" i="12"/>
  <c r="C53" i="12"/>
  <c r="C52" i="12"/>
  <c r="C55" i="12"/>
  <c r="C60" i="12"/>
  <c r="B72" i="12" l="1"/>
  <c r="C71" i="12"/>
  <c r="C70" i="12"/>
  <c r="C69" i="12"/>
  <c r="C68" i="12"/>
  <c r="C67" i="12"/>
  <c r="C66" i="12"/>
  <c r="C65" i="12"/>
  <c r="C64" i="12"/>
  <c r="C72" i="12"/>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<sst xmlns="http://schemas.openxmlformats.org/spreadsheetml/2006/main" count="288" uniqueCount="81">
  <si>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</si>
  <si>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</si>
  <si>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</si>
  <si>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</si>
  <si>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</si>
  <si>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</si>
  <si>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</si>
  <si>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</si>
  <si>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</si>
  <si>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</si>
  <si>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</si>
  <si>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</si>
  <si>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</si>
  <si>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</si>
  <si>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</si>
  <si>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</si>
  <si>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</si>
  <si>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</si>
  <si>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</si>
  <si>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</si>
  <si>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</si>
  <si>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</si>
  <si>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</si>
  <si>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</si>
  <si>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</si>
  <si>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</si>
  <si>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</si>
  <si>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</si>
  <si>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</si>
  <si>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</si>
  <si>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</si>
  <si>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</si>
  <si>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</si>
  <si>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</si>
  <si>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</si>
  <si>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</si>
  <si>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</si>
  <si>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</si>
  <si>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</si>
  <si>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</si>
  <si>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</si>
  <si>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</si>
  <si>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</si>
  <si>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</si>
  <si>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</si>
  <si>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Séquence 4</t>
  </si>
  <si>
    <t>Joachim Berchel</t>
  </si>
  <si>
    <t>Du 01.12.2022 au 12.01.2023</t>
  </si>
  <si>
    <t>MiD2</t>
  </si>
  <si>
    <t>Écouter consignes</t>
  </si>
  <si>
    <t>Recherche, Documentation</t>
  </si>
  <si>
    <t>Écouter les instructions de base pour le projet et installer NodeJS</t>
  </si>
  <si>
    <t>ETML, Sébeillon</t>
  </si>
  <si>
    <t>P_Bulles - Compétence du module</t>
  </si>
  <si>
    <t>https://fr.javascript.info/</t>
  </si>
  <si>
    <t>Lire la documentation, prendre des notes pour préparer un mémo en même temps et faire les petits exercices proposés. (actuellement au boucle while et for)</t>
  </si>
  <si>
    <t>Relire en vitesse le mémo pour se rappeler des éléments que j'ai oublié puis continuer la lecture de la documentation (actuellement au point 3.1)</t>
  </si>
  <si>
    <t>Coder</t>
  </si>
  <si>
    <t>Essayer de coder un petit programme pour mettre en pratique la théorie. J'ai créé un programme qui demande à l'utilisateur s'il veut faire des additions ou des multiplications et si l'utilisateur appuie sur oui il fourni les nombres puis l'addition ou la multiplication se fait.</t>
  </si>
  <si>
    <t>Continuer de lire la documentation (actuellement au point 4.2)</t>
  </si>
  <si>
    <t>Essayer de coder des formes pour préparer le terrain.</t>
  </si>
  <si>
    <t>Faire apparaître la pomme.</t>
  </si>
  <si>
    <t>J'arrive à déplacer mon serpent.</t>
  </si>
  <si>
    <t>J'ai réglé l'erreur qui me posait problème les 2 derniers jours, je dessinais du noir sur du noir donc je ne voyais pas la forme. J'ai ajouté une fonction pour déplacer mon serpent.</t>
  </si>
  <si>
    <t>Faire en sorte que la pomme apparaisse à un endroit aléatoire aligner avec le serpent</t>
  </si>
  <si>
    <t>Supprimer toutes les lignes de code inutile et refactoriser la détection entre la pomme et le serpent. J'ai actuellement un problème car la détection se fait avant de passer sur la pomme. (au final l'erreur n'avait lieu que car j'utilisais un alert pour débugguer et sans la pomme disparâit au bon moment.)</t>
  </si>
  <si>
    <t>J'essaie de faire afficher plusieurs bouts du serpent mais je n'y arrive pas.</t>
  </si>
  <si>
    <t>Afficher le score</t>
  </si>
  <si>
    <t>Afficher un menu de game over et ajouter un bouton restart</t>
  </si>
  <si>
    <t>Faire apparaître le serpent comme il faut, j'ai réparé une erreur que j'ai depuis la séquence 3, j'utilisais un snake.pop() au lieu de snake.shift()</t>
  </si>
  <si>
    <t>Créer la condition de défaite si le seprent touche sa queue</t>
  </si>
  <si>
    <t>Supprimer les éléments inutiles du code et ajouter des commentaires</t>
  </si>
  <si>
    <t>Lire le cahier des charges et noter les points pas encore fait. Ensuite aller se documenter sur les classes et comment les importer.</t>
  </si>
  <si>
    <t>Empêcher le joueur de changer de direction 2 fois dans la même frame pour qu'il ne puisse pas revenir sur lui-même et mourir en cliquant trop vite sur les touches</t>
  </si>
  <si>
    <t>Commencer à remplacer les if par des opérateurs ternaires</t>
  </si>
  <si>
    <t>Lire de la documentation et tenir le mémo à jour sur : "rest", "class", "import", "export", "arrow function"</t>
  </si>
  <si>
    <t>draw the head of the snake in a different color</t>
  </si>
  <si>
    <t>Essayer d'importer une classe puis créer une bordure autour du serpent.</t>
  </si>
  <si>
    <t>Rendre le jeu plus fluide</t>
  </si>
  <si>
    <t>Corriger une erreur qui permettait de relancer une partie alors qu'une autre était en cours.</t>
  </si>
  <si>
    <t>Utiliser un snake.forEach()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</si>
</sst>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7">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2" fillId="18" borderId="79" xfId="0" applyFont="1" applyFill="1" applyBorder="1"/>
    <xf numFmtId="0" fontId="0" fillId="0" borderId="2"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2" fillId="18" borderId="5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164" fontId="7" fillId="4" borderId="17" xfId="0" applyNumberFormat="1" applyFont="1" applyFill="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164" fontId="7" fillId="4" borderId="15"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1" fillId="0" borderId="33"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cellXfs>
  <cellStyles count="2">
    <cellStyle name="Lien hypertexte" xfId="1" builtinId="8"/>
    <cellStyle name="Normal" xfId="0" builtinId="0" customBuiltin="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fr.javascript.info/" TargetMode="External"/><Relationship Id="rId7" Type="http://schemas.openxmlformats.org/officeDocument/2006/relationships/control" Target="../activeX/activeX4.xml"/><Relationship Id="rId2" Type="http://schemas.openxmlformats.org/officeDocument/2006/relationships/hyperlink" Target="https://fr.javascript.info/" TargetMode="External"/><Relationship Id="rId1" Type="http://schemas.openxmlformats.org/officeDocument/2006/relationships/hyperlink" Target="https://fr.javascript.info/"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5" t="s">
        <v>33</v>
      </c>
      <c r="C35" s="185"/>
      <c r="D35" s="185"/>
      <c r="E35" s="107" t="s">
        <v>42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6" t="s">
        <v>34</v>
      </c>
      <c r="C37" s="186"/>
      <c r="D37" s="186"/>
      <c r="E37" s="109" t="s">
        <v>42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KT99"/>
  <sheetViews>
    <sheetView showGridLines="0" topLeftCell="A11" zoomScale="70" zoomScaleNormal="70" zoomScaleSheetLayoutView="43" workbookViewId="0">
      <selection activeCell="F94" sqref="F94:K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05" width="1.140625" style="3" customWidth="1"/>
    <col min="306" max="306" width="2.7109375" style="3" customWidth="1"/>
    <col min="307" max="16384" width="11.42578125" style="3"/>
  </cols>
  <sheetData>
    <row r="1" spans="1:306" ht="35.1" customHeight="1" x14ac:dyDescent="0.25">
      <c r="B1" s="95"/>
      <c r="C1" s="192" t="s">
        <v>30</v>
      </c>
      <c r="D1" s="192"/>
      <c r="E1" s="19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93">
        <v>1</v>
      </c>
    </row>
    <row r="2" spans="1:3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90"/>
    </row>
    <row r="3" spans="1:306" ht="30" customHeight="1" x14ac:dyDescent="0.25">
      <c r="B3" s="96"/>
      <c r="C3" s="7" t="s">
        <v>0</v>
      </c>
      <c r="D3" s="141"/>
      <c r="E3" s="8" t="s">
        <v>53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90"/>
    </row>
    <row r="4" spans="1:306" ht="30" customHeight="1" x14ac:dyDescent="0.25">
      <c r="B4" s="96"/>
      <c r="C4" s="12" t="s">
        <v>6</v>
      </c>
      <c r="D4" s="142"/>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90"/>
    </row>
    <row r="5" spans="1:306" ht="30" customHeight="1" x14ac:dyDescent="0.25">
      <c r="B5" s="96"/>
      <c r="C5" s="12" t="s">
        <v>1</v>
      </c>
      <c r="D5" s="142"/>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90"/>
    </row>
    <row r="6" spans="1:306" ht="30" customHeight="1" thickBot="1" x14ac:dyDescent="0.3">
      <c r="B6" s="96"/>
      <c r="C6" s="17" t="s">
        <v>2</v>
      </c>
      <c r="D6" s="143"/>
      <c r="E6" s="18" t="s">
        <v>52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90"/>
    </row>
    <row r="7" spans="1:306" ht="20.100000000000001" customHeight="1" thickBot="1" x14ac:dyDescent="0.3">
      <c r="B7" s="96"/>
      <c r="C7" s="193"/>
      <c r="D7" s="193"/>
      <c r="E7" s="19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90"/>
    </row>
    <row r="8" spans="1:306" ht="30" customHeight="1" x14ac:dyDescent="0.25">
      <c r="B8" s="96"/>
      <c r="C8" s="7" t="s">
        <v>3</v>
      </c>
      <c r="D8" s="141"/>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90"/>
    </row>
    <row r="9" spans="1:306" ht="30" customHeight="1" x14ac:dyDescent="0.25">
      <c r="B9" s="96"/>
      <c r="C9" s="12" t="s">
        <v>17</v>
      </c>
      <c r="D9" s="142"/>
      <c r="E9" s="13" t="s">
        <v>21</v>
      </c>
      <c r="F9" s="14"/>
      <c r="G9" s="197" t="str">
        <f>E96</f>
        <v>0h</v>
      </c>
      <c r="H9" s="197"/>
      <c r="I9" s="197"/>
      <c r="J9" s="197"/>
      <c r="K9" s="197"/>
      <c r="L9" s="197"/>
      <c r="M9" s="197"/>
      <c r="N9" s="197"/>
      <c r="O9" s="197"/>
      <c r="P9" s="197"/>
      <c r="Q9" s="197"/>
      <c r="R9" s="197"/>
      <c r="S9" s="197"/>
      <c r="T9" s="197"/>
      <c r="U9" s="197"/>
      <c r="V9" s="119"/>
      <c r="W9" s="196" t="s">
        <v>22</v>
      </c>
      <c r="X9" s="196"/>
      <c r="Y9" s="196"/>
      <c r="Z9" s="196"/>
      <c r="AA9" s="196"/>
      <c r="AB9" s="196"/>
      <c r="AC9" s="196"/>
      <c r="AD9" s="196"/>
      <c r="AE9" s="196"/>
      <c r="AF9" s="196"/>
      <c r="AG9" s="196"/>
      <c r="AH9" s="197" t="str">
        <f>E98</f>
        <v>17h35min</v>
      </c>
      <c r="AI9" s="197"/>
      <c r="AJ9" s="197"/>
      <c r="AK9" s="197"/>
      <c r="AL9" s="197"/>
      <c r="AM9" s="197"/>
      <c r="AN9" s="197"/>
      <c r="AO9" s="197"/>
      <c r="AP9" s="197"/>
      <c r="AQ9" s="197"/>
      <c r="AR9" s="197"/>
      <c r="AS9" s="197"/>
      <c r="AT9" s="197"/>
      <c r="AU9" s="197"/>
      <c r="AV9" s="197"/>
      <c r="AW9" s="19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90"/>
    </row>
    <row r="10" spans="1:3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99"/>
      <c r="BO10" s="199"/>
      <c r="BP10" s="199"/>
      <c r="BQ10" s="199"/>
      <c r="BR10" s="199"/>
      <c r="BS10" s="199"/>
      <c r="BT10" s="199"/>
      <c r="BU10" s="199"/>
      <c r="BV10" s="199"/>
      <c r="BW10" s="199"/>
      <c r="BX10" s="199"/>
      <c r="BY10" s="199"/>
      <c r="BZ10" s="199"/>
      <c r="CA10" s="199"/>
      <c r="CB10" s="199"/>
      <c r="CC10" s="199"/>
      <c r="CD10" s="199"/>
      <c r="CE10" s="199"/>
      <c r="CF10" s="199"/>
      <c r="CG10" s="199"/>
      <c r="CH10" s="199"/>
      <c r="CI10" s="199"/>
      <c r="CJ10" s="199"/>
      <c r="CK10" s="199"/>
      <c r="CL10" s="199"/>
      <c r="CM10" s="199"/>
      <c r="CN10" s="199"/>
      <c r="CO10" s="199"/>
      <c r="CP10" s="199"/>
      <c r="CQ10" s="92"/>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c r="DR10" s="198"/>
      <c r="DS10" s="198"/>
      <c r="DT10" s="198"/>
      <c r="DU10" s="198"/>
      <c r="DV10" s="198"/>
      <c r="DW10" s="198"/>
      <c r="DX10" s="198"/>
      <c r="DY10" s="198"/>
      <c r="DZ10" s="198"/>
      <c r="EA10" s="198"/>
      <c r="EB10" s="198"/>
      <c r="EC10" s="198"/>
      <c r="ED10" s="198"/>
      <c r="EE10" s="198"/>
      <c r="EF10" s="198"/>
      <c r="EG10" s="198"/>
      <c r="EH10" s="198"/>
      <c r="EI10" s="198"/>
      <c r="EJ10" s="198"/>
      <c r="EK10" s="198"/>
      <c r="EL10" s="198"/>
      <c r="EM10" s="198"/>
      <c r="EN10" s="198"/>
      <c r="EO10" s="198"/>
      <c r="EP10" s="198"/>
      <c r="EQ10" s="198"/>
      <c r="ER10" s="198"/>
      <c r="ES10" s="198"/>
      <c r="ET10" s="198"/>
      <c r="EU10" s="198"/>
      <c r="EV10" s="198"/>
      <c r="EW10" s="198"/>
      <c r="EX10" s="198"/>
      <c r="EY10" s="198"/>
      <c r="EZ10" s="198"/>
      <c r="FA10" s="198"/>
      <c r="FB10" s="198"/>
      <c r="FC10" s="198"/>
      <c r="FD10" s="198"/>
      <c r="FE10" s="198"/>
      <c r="FF10" s="198"/>
      <c r="FG10" s="198"/>
      <c r="FH10" s="198"/>
      <c r="FI10" s="198"/>
      <c r="FJ10" s="198"/>
      <c r="FK10" s="198"/>
      <c r="FL10" s="198"/>
      <c r="FM10" s="198"/>
      <c r="FN10" s="198"/>
      <c r="FO10" s="198"/>
      <c r="FP10" s="198"/>
      <c r="FQ10" s="198"/>
      <c r="FR10" s="198"/>
      <c r="FS10" s="198"/>
      <c r="FT10" s="198"/>
      <c r="FU10" s="198"/>
      <c r="FV10" s="198"/>
      <c r="FW10" s="198"/>
      <c r="FX10" s="198"/>
      <c r="FY10" s="198"/>
      <c r="FZ10" s="198"/>
      <c r="GA10" s="198"/>
      <c r="GB10" s="198"/>
      <c r="GC10" s="198"/>
      <c r="GD10" s="198"/>
      <c r="GE10" s="198"/>
      <c r="GF10" s="198"/>
      <c r="GG10" s="198"/>
      <c r="GH10" s="198"/>
      <c r="GI10" s="198"/>
      <c r="GJ10" s="198"/>
      <c r="GK10" s="198"/>
      <c r="GL10" s="198"/>
      <c r="GM10" s="198"/>
      <c r="GN10" s="198"/>
      <c r="GO10" s="198"/>
      <c r="GP10" s="198"/>
      <c r="GQ10" s="198"/>
      <c r="GR10" s="198"/>
      <c r="GS10" s="198"/>
      <c r="GT10" s="198"/>
      <c r="GU10" s="198"/>
      <c r="GV10" s="198"/>
      <c r="GW10" s="198"/>
      <c r="GX10" s="198"/>
      <c r="GY10" s="198"/>
      <c r="GZ10" s="198"/>
      <c r="HA10" s="198"/>
      <c r="HB10" s="198"/>
      <c r="HC10" s="198"/>
      <c r="HD10" s="198"/>
      <c r="HE10" s="198"/>
      <c r="HF10" s="198"/>
      <c r="HG10" s="198"/>
      <c r="HH10" s="198"/>
      <c r="HI10" s="198"/>
      <c r="HJ10" s="198"/>
      <c r="HK10" s="198"/>
      <c r="HL10" s="198"/>
      <c r="HM10" s="198"/>
      <c r="HN10" s="198"/>
      <c r="HO10" s="198"/>
      <c r="HP10" s="198"/>
      <c r="HQ10" s="198"/>
      <c r="HR10" s="198"/>
      <c r="HS10" s="198"/>
      <c r="HT10" s="198"/>
      <c r="HU10" s="198"/>
      <c r="HV10" s="198"/>
      <c r="HW10" s="198"/>
      <c r="HX10" s="198"/>
      <c r="HY10" s="198"/>
      <c r="HZ10" s="198"/>
      <c r="IA10" s="198"/>
      <c r="IB10" s="198"/>
      <c r="IC10" s="198"/>
      <c r="ID10" s="198"/>
      <c r="IE10" s="198"/>
      <c r="IF10" s="198"/>
      <c r="IG10" s="198"/>
      <c r="IH10" s="198"/>
      <c r="II10" s="198"/>
      <c r="IJ10" s="198"/>
      <c r="IK10" s="198"/>
      <c r="IL10" s="198"/>
      <c r="IM10" s="198"/>
      <c r="IN10" s="198"/>
      <c r="IO10" s="198"/>
      <c r="IP10" s="198"/>
      <c r="IQ10" s="198"/>
      <c r="IR10" s="198"/>
      <c r="IS10" s="198"/>
      <c r="IT10" s="198"/>
      <c r="IU10" s="198"/>
      <c r="IV10" s="198"/>
      <c r="IW10" s="198"/>
      <c r="IX10" s="198"/>
      <c r="IY10" s="198"/>
      <c r="IZ10" s="198"/>
      <c r="JA10" s="198"/>
      <c r="JB10" s="198"/>
      <c r="JC10" s="198"/>
      <c r="JD10" s="198"/>
      <c r="JE10" s="198"/>
      <c r="JF10" s="198"/>
      <c r="JG10" s="198"/>
      <c r="JH10" s="198"/>
      <c r="JI10" s="198"/>
      <c r="JJ10" s="198"/>
      <c r="JK10" s="198"/>
      <c r="JL10" s="198"/>
      <c r="JM10" s="198"/>
      <c r="JN10" s="198"/>
      <c r="JO10" s="198"/>
      <c r="JP10" s="198"/>
      <c r="JQ10" s="198"/>
      <c r="JR10" s="198"/>
      <c r="JS10" s="198"/>
      <c r="JT10" s="198"/>
      <c r="JU10" s="198"/>
      <c r="JV10" s="198"/>
      <c r="JW10" s="198"/>
      <c r="JX10" s="198"/>
      <c r="JY10" s="198"/>
      <c r="JZ10" s="198"/>
      <c r="KA10" s="198"/>
      <c r="KB10" s="198"/>
      <c r="KC10" s="198"/>
      <c r="KD10" s="198"/>
      <c r="KE10" s="198"/>
      <c r="KF10" s="198"/>
      <c r="KG10" s="198"/>
      <c r="KH10" s="198"/>
      <c r="KI10" s="198"/>
      <c r="KJ10" s="198"/>
      <c r="KK10" s="198"/>
      <c r="KL10" s="198"/>
      <c r="KM10" s="198"/>
      <c r="KN10" s="198"/>
      <c r="KO10" s="198"/>
      <c r="KP10" s="198"/>
      <c r="KQ10" s="198"/>
      <c r="KR10" s="198"/>
      <c r="KS10" s="198"/>
      <c r="KT10" s="90"/>
    </row>
    <row r="11" spans="1:306" ht="20.100000000000001" customHeight="1" x14ac:dyDescent="0.25">
      <c r="B11" s="96"/>
      <c r="C11" s="190"/>
      <c r="D11" s="190"/>
      <c r="E11" s="190"/>
      <c r="F11" s="195" t="s">
        <v>43</v>
      </c>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195"/>
      <c r="BJ11" s="195"/>
      <c r="BK11" s="195"/>
      <c r="BL11" s="195"/>
      <c r="BM11" s="195"/>
      <c r="BN11" s="195" t="s">
        <v>43</v>
      </c>
      <c r="BO11" s="195"/>
      <c r="BP11" s="195"/>
      <c r="BQ11" s="195"/>
      <c r="BR11" s="195"/>
      <c r="BS11" s="195"/>
      <c r="BT11" s="195"/>
      <c r="BU11" s="195"/>
      <c r="BV11" s="195"/>
      <c r="BW11" s="195"/>
      <c r="BX11" s="195"/>
      <c r="BY11" s="195"/>
      <c r="BZ11" s="195"/>
      <c r="CA11" s="195"/>
      <c r="CB11" s="195"/>
      <c r="CC11" s="195"/>
      <c r="CD11" s="195"/>
      <c r="CE11" s="195"/>
      <c r="CF11" s="195"/>
      <c r="CG11" s="195"/>
      <c r="CH11" s="195"/>
      <c r="CI11" s="195"/>
      <c r="CJ11" s="195"/>
      <c r="CK11" s="195"/>
      <c r="CL11" s="195"/>
      <c r="CM11" s="195"/>
      <c r="CN11" s="195"/>
      <c r="CO11" s="195"/>
      <c r="CP11" s="195"/>
      <c r="CQ11" s="195"/>
      <c r="CR11" s="195"/>
      <c r="CS11" s="195"/>
      <c r="CT11" s="195"/>
      <c r="CU11" s="195"/>
      <c r="CV11" s="195"/>
      <c r="CW11" s="195"/>
      <c r="CX11" s="195"/>
      <c r="CY11" s="195"/>
      <c r="CZ11" s="195"/>
      <c r="DA11" s="195"/>
      <c r="DB11" s="195"/>
      <c r="DC11" s="195"/>
      <c r="DD11" s="195"/>
      <c r="DE11" s="195"/>
      <c r="DF11" s="195"/>
      <c r="DG11" s="195"/>
      <c r="DH11" s="195"/>
      <c r="DI11" s="195"/>
      <c r="DJ11" s="195"/>
      <c r="DK11" s="195"/>
      <c r="DL11" s="195"/>
      <c r="DM11" s="195"/>
      <c r="DN11" s="195"/>
      <c r="DO11" s="195"/>
      <c r="DP11" s="195"/>
      <c r="DQ11" s="195"/>
      <c r="DR11" s="195"/>
      <c r="DS11" s="195"/>
      <c r="DT11" s="195"/>
      <c r="DU11" s="195"/>
      <c r="DV11" s="217" t="s">
        <v>43</v>
      </c>
      <c r="DW11" s="217"/>
      <c r="DX11" s="217"/>
      <c r="DY11" s="217"/>
      <c r="DZ11" s="217"/>
      <c r="EA11" s="217"/>
      <c r="EB11" s="217"/>
      <c r="EC11" s="217"/>
      <c r="ED11" s="217"/>
      <c r="EE11" s="217"/>
      <c r="EF11" s="217"/>
      <c r="EG11" s="217"/>
      <c r="EH11" s="217"/>
      <c r="EI11" s="217"/>
      <c r="EJ11" s="217"/>
      <c r="EK11" s="217"/>
      <c r="EL11" s="217"/>
      <c r="EM11" s="217"/>
      <c r="EN11" s="217"/>
      <c r="EO11" s="217"/>
      <c r="EP11" s="217"/>
      <c r="EQ11" s="217"/>
      <c r="ER11" s="217"/>
      <c r="ES11" s="217"/>
      <c r="ET11" s="217"/>
      <c r="EU11" s="217"/>
      <c r="EV11" s="217"/>
      <c r="EW11" s="217"/>
      <c r="EX11" s="217"/>
      <c r="EY11" s="217"/>
      <c r="EZ11" s="217"/>
      <c r="FA11" s="217"/>
      <c r="FB11" s="217"/>
      <c r="FC11" s="217"/>
      <c r="FD11" s="217"/>
      <c r="FE11" s="217"/>
      <c r="FF11" s="217"/>
      <c r="FG11" s="217"/>
      <c r="FH11" s="217"/>
      <c r="FI11" s="217"/>
      <c r="FJ11" s="217"/>
      <c r="FK11" s="217"/>
      <c r="FL11" s="217"/>
      <c r="FM11" s="217"/>
      <c r="FN11" s="217"/>
      <c r="FO11" s="217"/>
      <c r="FP11" s="217"/>
      <c r="FQ11" s="217"/>
      <c r="FR11" s="217"/>
      <c r="FS11" s="217"/>
      <c r="FT11" s="217"/>
      <c r="FU11" s="217"/>
      <c r="FV11" s="217"/>
      <c r="FW11" s="217"/>
      <c r="FX11" s="217"/>
      <c r="FY11" s="217"/>
      <c r="FZ11" s="217"/>
      <c r="GA11" s="217"/>
      <c r="GB11" s="217"/>
      <c r="GC11" s="217"/>
      <c r="GD11" s="217"/>
      <c r="GE11" s="217"/>
      <c r="GF11" s="217"/>
      <c r="GG11" s="217"/>
      <c r="GH11" s="217"/>
      <c r="GI11" s="217"/>
      <c r="GJ11" s="217"/>
      <c r="GK11" s="217"/>
      <c r="GL11" s="217"/>
      <c r="GM11" s="217"/>
      <c r="GN11" s="217"/>
      <c r="GO11" s="217"/>
      <c r="GP11" s="217"/>
      <c r="GQ11" s="217"/>
      <c r="GR11" s="217"/>
      <c r="GS11" s="217"/>
      <c r="GT11" s="217"/>
      <c r="GU11" s="217"/>
      <c r="GV11" s="217"/>
      <c r="GW11" s="217"/>
      <c r="GX11" s="217"/>
      <c r="GY11" s="217"/>
      <c r="GZ11" s="217"/>
      <c r="HA11" s="217"/>
      <c r="HB11" s="217"/>
      <c r="HC11" s="217"/>
      <c r="HD11" s="217"/>
      <c r="HE11" s="217"/>
      <c r="HF11" s="217"/>
      <c r="HG11" s="217"/>
      <c r="HH11" s="217"/>
      <c r="HI11" s="217"/>
      <c r="HJ11" s="217"/>
      <c r="HK11" s="217"/>
      <c r="HL11" s="217"/>
      <c r="HM11" s="217"/>
      <c r="HN11" s="217"/>
      <c r="HO11" s="217"/>
      <c r="HP11" s="217"/>
      <c r="HQ11" s="217"/>
      <c r="HR11" s="217"/>
      <c r="HS11" s="217"/>
      <c r="HT11" s="217"/>
      <c r="HU11" s="217"/>
      <c r="HV11" s="217"/>
      <c r="HW11" s="217"/>
      <c r="HX11" s="217"/>
      <c r="HY11" s="217"/>
      <c r="HZ11" s="217"/>
      <c r="IA11" s="217"/>
      <c r="IB11" s="217"/>
      <c r="IC11" s="217"/>
      <c r="ID11" s="217"/>
      <c r="IE11" s="217"/>
      <c r="IF11" s="217"/>
      <c r="IG11" s="217"/>
      <c r="IH11" s="217"/>
      <c r="II11" s="217"/>
      <c r="IJ11" s="217"/>
      <c r="IK11" s="217"/>
      <c r="IL11" s="217"/>
      <c r="IM11" s="217"/>
      <c r="IN11" s="217"/>
      <c r="IO11" s="217"/>
      <c r="IP11" s="217"/>
      <c r="IQ11" s="217"/>
      <c r="IR11" s="217"/>
      <c r="IS11" s="217"/>
      <c r="IT11" s="217"/>
      <c r="IU11" s="217"/>
      <c r="IV11" s="217"/>
      <c r="IW11" s="217"/>
      <c r="IX11" s="217"/>
      <c r="IY11" s="217"/>
      <c r="IZ11" s="217"/>
      <c r="JA11" s="217"/>
      <c r="JB11" s="217"/>
      <c r="JC11" s="217"/>
      <c r="JD11" s="217"/>
      <c r="JE11" s="217"/>
      <c r="JF11" s="217"/>
      <c r="JG11" s="217"/>
      <c r="JH11" s="217"/>
      <c r="JI11" s="217"/>
      <c r="JJ11" s="217"/>
      <c r="JK11" s="217"/>
      <c r="JL11" s="217"/>
      <c r="JM11" s="217"/>
      <c r="JN11" s="217"/>
      <c r="JO11" s="217"/>
      <c r="JP11" s="217"/>
      <c r="JQ11" s="217"/>
      <c r="JR11" s="217"/>
      <c r="JS11" s="217"/>
      <c r="JT11" s="217"/>
      <c r="JU11" s="217"/>
      <c r="JV11" s="217"/>
      <c r="JW11" s="217"/>
      <c r="JX11" s="217"/>
      <c r="JY11" s="217"/>
      <c r="JZ11" s="217"/>
      <c r="KA11" s="217"/>
      <c r="KB11" s="217"/>
      <c r="KC11" s="217"/>
      <c r="KD11" s="217"/>
      <c r="KE11" s="217"/>
      <c r="KF11" s="217"/>
      <c r="KG11" s="217"/>
      <c r="KH11" s="217"/>
      <c r="KI11" s="217"/>
      <c r="KJ11" s="217"/>
      <c r="KK11" s="217"/>
      <c r="KL11" s="217"/>
      <c r="KM11" s="217"/>
      <c r="KN11" s="217"/>
      <c r="KO11" s="217"/>
      <c r="KP11" s="217"/>
      <c r="KQ11" s="217"/>
      <c r="KR11" s="217"/>
      <c r="KS11" s="217"/>
      <c r="KT11" s="90"/>
    </row>
    <row r="12" spans="1:306" ht="15.75" customHeight="1" thickBot="1" x14ac:dyDescent="0.3">
      <c r="B12" s="97"/>
      <c r="C12" s="191"/>
      <c r="D12" s="191"/>
      <c r="E12" s="191"/>
      <c r="F12" s="194">
        <v>45237</v>
      </c>
      <c r="G12" s="194"/>
      <c r="H12" s="194"/>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c r="AL12" s="194"/>
      <c r="AM12" s="194"/>
      <c r="AN12" s="194"/>
      <c r="AO12" s="194"/>
      <c r="AP12" s="194"/>
      <c r="AQ12" s="194"/>
      <c r="AR12" s="194"/>
      <c r="AS12" s="194"/>
      <c r="AT12" s="194"/>
      <c r="AU12" s="194"/>
      <c r="AV12" s="194"/>
      <c r="AW12" s="194"/>
      <c r="AX12" s="194"/>
      <c r="AY12" s="194"/>
      <c r="AZ12" s="194"/>
      <c r="BA12" s="194"/>
      <c r="BB12" s="194"/>
      <c r="BC12" s="194"/>
      <c r="BD12" s="194"/>
      <c r="BE12" s="194"/>
      <c r="BF12" s="194"/>
      <c r="BG12" s="194"/>
      <c r="BH12" s="194"/>
      <c r="BI12" s="194"/>
      <c r="BJ12" s="194"/>
      <c r="BK12" s="194"/>
      <c r="BL12" s="194"/>
      <c r="BM12" s="194"/>
      <c r="BN12" s="194" t="s">
        <v>44</v>
      </c>
      <c r="BO12" s="194"/>
      <c r="BP12" s="194"/>
      <c r="BQ12" s="194"/>
      <c r="BR12" s="194"/>
      <c r="BS12" s="194"/>
      <c r="BT12" s="194"/>
      <c r="BU12" s="194"/>
      <c r="BV12" s="194"/>
      <c r="BW12" s="194"/>
      <c r="BX12" s="194"/>
      <c r="BY12" s="194"/>
      <c r="BZ12" s="194"/>
      <c r="CA12" s="194"/>
      <c r="CB12" s="194"/>
      <c r="CC12" s="194"/>
      <c r="CD12" s="194"/>
      <c r="CE12" s="194"/>
      <c r="CF12" s="194"/>
      <c r="CG12" s="194"/>
      <c r="CH12" s="194"/>
      <c r="CI12" s="194"/>
      <c r="CJ12" s="194"/>
      <c r="CK12" s="194"/>
      <c r="CL12" s="194"/>
      <c r="CM12" s="194"/>
      <c r="CN12" s="194"/>
      <c r="CO12" s="194"/>
      <c r="CP12" s="194"/>
      <c r="CQ12" s="194"/>
      <c r="CR12" s="194"/>
      <c r="CS12" s="194"/>
      <c r="CT12" s="194"/>
      <c r="CU12" s="194"/>
      <c r="CV12" s="194"/>
      <c r="CW12" s="194"/>
      <c r="CX12" s="194"/>
      <c r="CY12" s="194"/>
      <c r="CZ12" s="194"/>
      <c r="DA12" s="194"/>
      <c r="DB12" s="194"/>
      <c r="DC12" s="194"/>
      <c r="DD12" s="194"/>
      <c r="DE12" s="194"/>
      <c r="DF12" s="194"/>
      <c r="DG12" s="194"/>
      <c r="DH12" s="194"/>
      <c r="DI12" s="194"/>
      <c r="DJ12" s="194"/>
      <c r="DK12" s="194"/>
      <c r="DL12" s="194"/>
      <c r="DM12" s="194"/>
      <c r="DN12" s="194"/>
      <c r="DO12" s="194"/>
      <c r="DP12" s="194"/>
      <c r="DQ12" s="194"/>
      <c r="DR12" s="194"/>
      <c r="DS12" s="194"/>
      <c r="DT12" s="194"/>
      <c r="DU12" s="194"/>
      <c r="DV12" s="218" t="s">
        <v>44</v>
      </c>
      <c r="DW12" s="218"/>
      <c r="DX12" s="218"/>
      <c r="DY12" s="218"/>
      <c r="DZ12" s="218"/>
      <c r="EA12" s="218"/>
      <c r="EB12" s="218"/>
      <c r="EC12" s="218"/>
      <c r="ED12" s="218"/>
      <c r="EE12" s="218"/>
      <c r="EF12" s="218"/>
      <c r="EG12" s="218"/>
      <c r="EH12" s="218"/>
      <c r="EI12" s="218"/>
      <c r="EJ12" s="218"/>
      <c r="EK12" s="218"/>
      <c r="EL12" s="218"/>
      <c r="EM12" s="218"/>
      <c r="EN12" s="218"/>
      <c r="EO12" s="218"/>
      <c r="EP12" s="218"/>
      <c r="EQ12" s="218"/>
      <c r="ER12" s="218"/>
      <c r="ES12" s="218"/>
      <c r="ET12" s="218"/>
      <c r="EU12" s="218"/>
      <c r="EV12" s="218"/>
      <c r="EW12" s="218"/>
      <c r="EX12" s="218"/>
      <c r="EY12" s="218"/>
      <c r="EZ12" s="218"/>
      <c r="FA12" s="218"/>
      <c r="FB12" s="218"/>
      <c r="FC12" s="218"/>
      <c r="FD12" s="218"/>
      <c r="FE12" s="218"/>
      <c r="FF12" s="218"/>
      <c r="FG12" s="218"/>
      <c r="FH12" s="218"/>
      <c r="FI12" s="218"/>
      <c r="FJ12" s="218"/>
      <c r="FK12" s="218"/>
      <c r="FL12" s="218"/>
      <c r="FM12" s="218"/>
      <c r="FN12" s="218"/>
      <c r="FO12" s="218"/>
      <c r="FP12" s="218"/>
      <c r="FQ12" s="218"/>
      <c r="FR12" s="218"/>
      <c r="FS12" s="218"/>
      <c r="FT12" s="218"/>
      <c r="FU12" s="218"/>
      <c r="FV12" s="218"/>
      <c r="FW12" s="218"/>
      <c r="FX12" s="218"/>
      <c r="FY12" s="218"/>
      <c r="FZ12" s="218"/>
      <c r="GA12" s="218"/>
      <c r="GB12" s="218"/>
      <c r="GC12" s="218"/>
      <c r="GD12" s="218"/>
      <c r="GE12" s="218"/>
      <c r="GF12" s="218"/>
      <c r="GG12" s="218"/>
      <c r="GH12" s="218"/>
      <c r="GI12" s="218"/>
      <c r="GJ12" s="218"/>
      <c r="GK12" s="218"/>
      <c r="GL12" s="218"/>
      <c r="GM12" s="218"/>
      <c r="GN12" s="218"/>
      <c r="GO12" s="218"/>
      <c r="GP12" s="218"/>
      <c r="GQ12" s="218"/>
      <c r="GR12" s="218"/>
      <c r="GS12" s="218"/>
      <c r="GT12" s="218"/>
      <c r="GU12" s="218"/>
      <c r="GV12" s="218"/>
      <c r="GW12" s="218"/>
      <c r="GX12" s="218"/>
      <c r="GY12" s="218"/>
      <c r="GZ12" s="218"/>
      <c r="HA12" s="218"/>
      <c r="HB12" s="218"/>
      <c r="HC12" s="218"/>
      <c r="HD12" s="218"/>
      <c r="HE12" s="218"/>
      <c r="HF12" s="218"/>
      <c r="HG12" s="218"/>
      <c r="HH12" s="218"/>
      <c r="HI12" s="218"/>
      <c r="HJ12" s="218"/>
      <c r="HK12" s="218"/>
      <c r="HL12" s="218"/>
      <c r="HM12" s="218"/>
      <c r="HN12" s="218"/>
      <c r="HO12" s="218"/>
      <c r="HP12" s="218"/>
      <c r="HQ12" s="218"/>
      <c r="HR12" s="218"/>
      <c r="HS12" s="218"/>
      <c r="HT12" s="218"/>
      <c r="HU12" s="218"/>
      <c r="HV12" s="218"/>
      <c r="HW12" s="218"/>
      <c r="HX12" s="218"/>
      <c r="HY12" s="218"/>
      <c r="HZ12" s="218"/>
      <c r="IA12" s="218"/>
      <c r="IB12" s="218"/>
      <c r="IC12" s="218"/>
      <c r="ID12" s="218"/>
      <c r="IE12" s="218"/>
      <c r="IF12" s="218"/>
      <c r="IG12" s="218"/>
      <c r="IH12" s="218"/>
      <c r="II12" s="218"/>
      <c r="IJ12" s="218"/>
      <c r="IK12" s="218"/>
      <c r="IL12" s="218"/>
      <c r="IM12" s="218"/>
      <c r="IN12" s="218"/>
      <c r="IO12" s="218"/>
      <c r="IP12" s="218"/>
      <c r="IQ12" s="218"/>
      <c r="IR12" s="218"/>
      <c r="IS12" s="218"/>
      <c r="IT12" s="218"/>
      <c r="IU12" s="218"/>
      <c r="IV12" s="218"/>
      <c r="IW12" s="218"/>
      <c r="IX12" s="218"/>
      <c r="IY12" s="218"/>
      <c r="IZ12" s="218"/>
      <c r="JA12" s="218"/>
      <c r="JB12" s="218"/>
      <c r="JC12" s="218"/>
      <c r="JD12" s="218"/>
      <c r="JE12" s="218"/>
      <c r="JF12" s="218"/>
      <c r="JG12" s="218"/>
      <c r="JH12" s="218"/>
      <c r="JI12" s="218"/>
      <c r="JJ12" s="218"/>
      <c r="JK12" s="218"/>
      <c r="JL12" s="218"/>
      <c r="JM12" s="218"/>
      <c r="JN12" s="218"/>
      <c r="JO12" s="218"/>
      <c r="JP12" s="218"/>
      <c r="JQ12" s="218"/>
      <c r="JR12" s="218"/>
      <c r="JS12" s="218"/>
      <c r="JT12" s="218"/>
      <c r="JU12" s="218"/>
      <c r="JV12" s="218"/>
      <c r="JW12" s="218"/>
      <c r="JX12" s="218"/>
      <c r="JY12" s="218"/>
      <c r="JZ12" s="218"/>
      <c r="KA12" s="218"/>
      <c r="KB12" s="218"/>
      <c r="KC12" s="218"/>
      <c r="KD12" s="218"/>
      <c r="KE12" s="218"/>
      <c r="KF12" s="218"/>
      <c r="KG12" s="218"/>
      <c r="KH12" s="218"/>
      <c r="KI12" s="218"/>
      <c r="KJ12" s="218"/>
      <c r="KK12" s="218"/>
      <c r="KL12" s="218"/>
      <c r="KM12" s="218"/>
      <c r="KN12" s="218"/>
      <c r="KO12" s="218"/>
      <c r="KP12" s="218"/>
      <c r="KQ12" s="218"/>
      <c r="KR12" s="218"/>
      <c r="KS12" s="218"/>
      <c r="KT12" s="90"/>
    </row>
    <row r="13" spans="1:306" ht="42.75" customHeight="1" thickBot="1" x14ac:dyDescent="0.3">
      <c r="B13" s="96"/>
      <c r="C13" s="210" t="s">
        <v>7</v>
      </c>
      <c r="D13" s="145"/>
      <c r="E13" s="212" t="s">
        <v>40</v>
      </c>
      <c r="F13" s="214" t="s">
        <v>8</v>
      </c>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5"/>
      <c r="BI13" s="215"/>
      <c r="BJ13" s="215"/>
      <c r="BK13" s="215"/>
      <c r="BL13" s="215"/>
      <c r="BM13" s="216"/>
      <c r="BN13" s="214" t="s">
        <v>27</v>
      </c>
      <c r="BO13" s="215"/>
      <c r="BP13" s="215"/>
      <c r="BQ13" s="215"/>
      <c r="BR13" s="215"/>
      <c r="BS13" s="215"/>
      <c r="BT13" s="215"/>
      <c r="BU13" s="215"/>
      <c r="BV13" s="215"/>
      <c r="BW13" s="215"/>
      <c r="BX13" s="215"/>
      <c r="BY13" s="215"/>
      <c r="BZ13" s="215"/>
      <c r="CA13" s="215"/>
      <c r="CB13" s="215"/>
      <c r="CC13" s="215"/>
      <c r="CD13" s="215"/>
      <c r="CE13" s="215"/>
      <c r="CF13" s="215"/>
      <c r="CG13" s="215"/>
      <c r="CH13" s="215"/>
      <c r="CI13" s="215"/>
      <c r="CJ13" s="215"/>
      <c r="CK13" s="215"/>
      <c r="CL13" s="215"/>
      <c r="CM13" s="215"/>
      <c r="CN13" s="215"/>
      <c r="CO13" s="215"/>
      <c r="CP13" s="215"/>
      <c r="CQ13" s="215"/>
      <c r="CR13" s="215"/>
      <c r="CS13" s="215"/>
      <c r="CT13" s="215"/>
      <c r="CU13" s="215"/>
      <c r="CV13" s="215"/>
      <c r="CW13" s="215"/>
      <c r="CX13" s="215"/>
      <c r="CY13" s="215"/>
      <c r="CZ13" s="215"/>
      <c r="DA13" s="215"/>
      <c r="DB13" s="215"/>
      <c r="DC13" s="215"/>
      <c r="DD13" s="215"/>
      <c r="DE13" s="215"/>
      <c r="DF13" s="215"/>
      <c r="DG13" s="215"/>
      <c r="DH13" s="215"/>
      <c r="DI13" s="215"/>
      <c r="DJ13" s="215"/>
      <c r="DK13" s="215"/>
      <c r="DL13" s="215"/>
      <c r="DM13" s="215"/>
      <c r="DN13" s="215"/>
      <c r="DO13" s="215"/>
      <c r="DP13" s="215"/>
      <c r="DQ13" s="215"/>
      <c r="DR13" s="215"/>
      <c r="DS13" s="215"/>
      <c r="DT13" s="215"/>
      <c r="DU13" s="216"/>
      <c r="DV13" s="214" t="s">
        <v>18</v>
      </c>
      <c r="DW13" s="215"/>
      <c r="DX13" s="215"/>
      <c r="DY13" s="215"/>
      <c r="DZ13" s="215"/>
      <c r="EA13" s="215"/>
      <c r="EB13" s="215"/>
      <c r="EC13" s="215"/>
      <c r="ED13" s="215"/>
      <c r="EE13" s="215"/>
      <c r="EF13" s="215"/>
      <c r="EG13" s="215"/>
      <c r="EH13" s="215"/>
      <c r="EI13" s="215"/>
      <c r="EJ13" s="215"/>
      <c r="EK13" s="215"/>
      <c r="EL13" s="215"/>
      <c r="EM13" s="215"/>
      <c r="EN13" s="215"/>
      <c r="EO13" s="215"/>
      <c r="EP13" s="215"/>
      <c r="EQ13" s="215"/>
      <c r="ER13" s="215"/>
      <c r="ES13" s="215"/>
      <c r="ET13" s="215"/>
      <c r="EU13" s="215"/>
      <c r="EV13" s="215"/>
      <c r="EW13" s="215"/>
      <c r="EX13" s="215"/>
      <c r="EY13" s="215"/>
      <c r="EZ13" s="215"/>
      <c r="FA13" s="215"/>
      <c r="FB13" s="215"/>
      <c r="FC13" s="215"/>
      <c r="FD13" s="215"/>
      <c r="FE13" s="215"/>
      <c r="FF13" s="215"/>
      <c r="FG13" s="215"/>
      <c r="FH13" s="215"/>
      <c r="FI13" s="215"/>
      <c r="FJ13" s="215"/>
      <c r="FK13" s="215"/>
      <c r="FL13" s="215"/>
      <c r="FM13" s="215"/>
      <c r="FN13" s="215"/>
      <c r="FO13" s="215"/>
      <c r="FP13" s="215"/>
      <c r="FQ13" s="215"/>
      <c r="FR13" s="215"/>
      <c r="FS13" s="215"/>
      <c r="FT13" s="215"/>
      <c r="FU13" s="215"/>
      <c r="FV13" s="215"/>
      <c r="FW13" s="215"/>
      <c r="FX13" s="215"/>
      <c r="FY13" s="215"/>
      <c r="FZ13" s="215"/>
      <c r="GA13" s="215"/>
      <c r="GB13" s="215"/>
      <c r="GC13" s="216"/>
      <c r="GD13" s="214" t="s">
        <v>45</v>
      </c>
      <c r="GE13" s="215"/>
      <c r="GF13" s="215"/>
      <c r="GG13" s="215"/>
      <c r="GH13" s="215"/>
      <c r="GI13" s="215"/>
      <c r="GJ13" s="215"/>
      <c r="GK13" s="215"/>
      <c r="GL13" s="215"/>
      <c r="GM13" s="215"/>
      <c r="GN13" s="215"/>
      <c r="GO13" s="215"/>
      <c r="GP13" s="215"/>
      <c r="GQ13" s="215"/>
      <c r="GR13" s="215"/>
      <c r="GS13" s="215"/>
      <c r="GT13" s="215"/>
      <c r="GU13" s="215"/>
      <c r="GV13" s="215"/>
      <c r="GW13" s="215"/>
      <c r="GX13" s="215"/>
      <c r="GY13" s="215"/>
      <c r="GZ13" s="215"/>
      <c r="HA13" s="215"/>
      <c r="HB13" s="215"/>
      <c r="HC13" s="215"/>
      <c r="HD13" s="215"/>
      <c r="HE13" s="215"/>
      <c r="HF13" s="215"/>
      <c r="HG13" s="215"/>
      <c r="HH13" s="215"/>
      <c r="HI13" s="215"/>
      <c r="HJ13" s="215"/>
      <c r="HK13" s="215"/>
      <c r="HL13" s="215"/>
      <c r="HM13" s="215"/>
      <c r="HN13" s="215"/>
      <c r="HO13" s="215"/>
      <c r="HP13" s="215"/>
      <c r="HQ13" s="215"/>
      <c r="HR13" s="215"/>
      <c r="HS13" s="215"/>
      <c r="HT13" s="215"/>
      <c r="HU13" s="215"/>
      <c r="HV13" s="215"/>
      <c r="HW13" s="215"/>
      <c r="HX13" s="215"/>
      <c r="HY13" s="215"/>
      <c r="HZ13" s="215"/>
      <c r="IA13" s="215"/>
      <c r="IB13" s="215"/>
      <c r="IC13" s="215"/>
      <c r="ID13" s="215"/>
      <c r="IE13" s="215"/>
      <c r="IF13" s="215"/>
      <c r="IG13" s="215"/>
      <c r="IH13" s="215"/>
      <c r="II13" s="215"/>
      <c r="IJ13" s="215"/>
      <c r="IK13" s="216"/>
      <c r="IL13" s="214" t="s">
        <v>11</v>
      </c>
      <c r="IM13" s="215"/>
      <c r="IN13" s="215"/>
      <c r="IO13" s="215"/>
      <c r="IP13" s="215"/>
      <c r="IQ13" s="215"/>
      <c r="IR13" s="215"/>
      <c r="IS13" s="215"/>
      <c r="IT13" s="215"/>
      <c r="IU13" s="215"/>
      <c r="IV13" s="215"/>
      <c r="IW13" s="215"/>
      <c r="IX13" s="215"/>
      <c r="IY13" s="215"/>
      <c r="IZ13" s="215"/>
      <c r="JA13" s="215"/>
      <c r="JB13" s="215"/>
      <c r="JC13" s="215"/>
      <c r="JD13" s="215"/>
      <c r="JE13" s="215"/>
      <c r="JF13" s="215"/>
      <c r="JG13" s="215"/>
      <c r="JH13" s="215"/>
      <c r="JI13" s="215"/>
      <c r="JJ13" s="215"/>
      <c r="JK13" s="215"/>
      <c r="JL13" s="215"/>
      <c r="JM13" s="215"/>
      <c r="JN13" s="215"/>
      <c r="JO13" s="215"/>
      <c r="JP13" s="215"/>
      <c r="JQ13" s="215"/>
      <c r="JR13" s="215"/>
      <c r="JS13" s="215"/>
      <c r="JT13" s="215"/>
      <c r="JU13" s="215"/>
      <c r="JV13" s="215"/>
      <c r="JW13" s="215"/>
      <c r="JX13" s="215"/>
      <c r="JY13" s="215"/>
      <c r="JZ13" s="215"/>
      <c r="KA13" s="215"/>
      <c r="KB13" s="215"/>
      <c r="KC13" s="215"/>
      <c r="KD13" s="215"/>
      <c r="KE13" s="215"/>
      <c r="KF13" s="215"/>
      <c r="KG13" s="215"/>
      <c r="KH13" s="215"/>
      <c r="KI13" s="215"/>
      <c r="KJ13" s="215"/>
      <c r="KK13" s="215"/>
      <c r="KL13" s="215"/>
      <c r="KM13" s="215"/>
      <c r="KN13" s="215"/>
      <c r="KO13" s="215"/>
      <c r="KP13" s="215"/>
      <c r="KQ13" s="215"/>
      <c r="KR13" s="215"/>
      <c r="KS13" s="216"/>
      <c r="KT13" s="90"/>
    </row>
    <row r="14" spans="1:306" ht="12.75" customHeight="1" thickBot="1" x14ac:dyDescent="0.35">
      <c r="B14" s="96"/>
      <c r="C14" s="211"/>
      <c r="D14" s="146"/>
      <c r="E14" s="213"/>
      <c r="F14" s="103"/>
      <c r="G14" s="104"/>
      <c r="H14" s="104"/>
      <c r="I14" s="104"/>
      <c r="J14" s="200" t="s">
        <v>35</v>
      </c>
      <c r="K14" s="200"/>
      <c r="L14" s="200"/>
      <c r="M14" s="200"/>
      <c r="N14" s="104"/>
      <c r="O14" s="104"/>
      <c r="P14" s="201" t="s">
        <v>23</v>
      </c>
      <c r="Q14" s="201"/>
      <c r="R14" s="201"/>
      <c r="S14" s="201"/>
      <c r="T14" s="129"/>
      <c r="U14" s="129"/>
      <c r="V14" s="200" t="s">
        <v>36</v>
      </c>
      <c r="W14" s="200"/>
      <c r="X14" s="200"/>
      <c r="Y14" s="200"/>
      <c r="Z14" s="104"/>
      <c r="AA14" s="104"/>
      <c r="AB14" s="201" t="s">
        <v>24</v>
      </c>
      <c r="AC14" s="201"/>
      <c r="AD14" s="201"/>
      <c r="AE14" s="201"/>
      <c r="AF14" s="129"/>
      <c r="AG14" s="129"/>
      <c r="AH14" s="200" t="s">
        <v>37</v>
      </c>
      <c r="AI14" s="200"/>
      <c r="AJ14" s="200"/>
      <c r="AK14" s="200"/>
      <c r="AL14" s="104"/>
      <c r="AM14" s="104"/>
      <c r="AN14" s="201" t="s">
        <v>25</v>
      </c>
      <c r="AO14" s="201"/>
      <c r="AP14" s="201"/>
      <c r="AQ14" s="201"/>
      <c r="AR14" s="129"/>
      <c r="AS14" s="129"/>
      <c r="AT14" s="200" t="s">
        <v>38</v>
      </c>
      <c r="AU14" s="200"/>
      <c r="AV14" s="200"/>
      <c r="AW14" s="200"/>
      <c r="AX14" s="104"/>
      <c r="AY14" s="104"/>
      <c r="AZ14" s="201" t="s">
        <v>26</v>
      </c>
      <c r="BA14" s="201"/>
      <c r="BB14" s="201"/>
      <c r="BC14" s="201"/>
      <c r="BD14" s="129"/>
      <c r="BE14" s="129"/>
      <c r="BF14" s="200" t="s">
        <v>39</v>
      </c>
      <c r="BG14" s="200"/>
      <c r="BH14" s="200"/>
      <c r="BI14" s="200"/>
      <c r="BJ14" s="104"/>
      <c r="BK14" s="104"/>
      <c r="BL14" s="104"/>
      <c r="BM14" s="105"/>
      <c r="BN14" s="103"/>
      <c r="BO14" s="104"/>
      <c r="BP14" s="104"/>
      <c r="BQ14" s="104"/>
      <c r="BR14" s="200" t="s">
        <v>35</v>
      </c>
      <c r="BS14" s="200"/>
      <c r="BT14" s="200"/>
      <c r="BU14" s="200"/>
      <c r="BV14" s="104"/>
      <c r="BW14" s="104"/>
      <c r="BX14" s="201" t="s">
        <v>23</v>
      </c>
      <c r="BY14" s="201"/>
      <c r="BZ14" s="201"/>
      <c r="CA14" s="201"/>
      <c r="CB14" s="129"/>
      <c r="CC14" s="129"/>
      <c r="CD14" s="200" t="s">
        <v>36</v>
      </c>
      <c r="CE14" s="200"/>
      <c r="CF14" s="200"/>
      <c r="CG14" s="200"/>
      <c r="CH14" s="104"/>
      <c r="CI14" s="104"/>
      <c r="CJ14" s="201" t="s">
        <v>24</v>
      </c>
      <c r="CK14" s="201"/>
      <c r="CL14" s="201"/>
      <c r="CM14" s="201"/>
      <c r="CN14" s="129"/>
      <c r="CO14" s="129"/>
      <c r="CP14" s="200" t="s">
        <v>37</v>
      </c>
      <c r="CQ14" s="200"/>
      <c r="CR14" s="200"/>
      <c r="CS14" s="200"/>
      <c r="CT14" s="104"/>
      <c r="CU14" s="104"/>
      <c r="CV14" s="201" t="s">
        <v>25</v>
      </c>
      <c r="CW14" s="201"/>
      <c r="CX14" s="201"/>
      <c r="CY14" s="201"/>
      <c r="CZ14" s="129"/>
      <c r="DA14" s="129"/>
      <c r="DB14" s="200" t="s">
        <v>38</v>
      </c>
      <c r="DC14" s="200"/>
      <c r="DD14" s="200"/>
      <c r="DE14" s="200"/>
      <c r="DF14" s="104"/>
      <c r="DG14" s="104"/>
      <c r="DH14" s="201" t="s">
        <v>26</v>
      </c>
      <c r="DI14" s="201"/>
      <c r="DJ14" s="201"/>
      <c r="DK14" s="201"/>
      <c r="DL14" s="129"/>
      <c r="DM14" s="129"/>
      <c r="DN14" s="200" t="s">
        <v>39</v>
      </c>
      <c r="DO14" s="200"/>
      <c r="DP14" s="200"/>
      <c r="DQ14" s="200"/>
      <c r="DR14" s="104"/>
      <c r="DS14" s="104"/>
      <c r="DT14" s="104"/>
      <c r="DU14" s="105"/>
      <c r="DV14" s="103"/>
      <c r="DW14" s="104"/>
      <c r="DX14" s="104"/>
      <c r="DY14" s="104"/>
      <c r="DZ14" s="200" t="s">
        <v>35</v>
      </c>
      <c r="EA14" s="200"/>
      <c r="EB14" s="200"/>
      <c r="EC14" s="200"/>
      <c r="ED14" s="104"/>
      <c r="EE14" s="104"/>
      <c r="EF14" s="201" t="s">
        <v>23</v>
      </c>
      <c r="EG14" s="201"/>
      <c r="EH14" s="201"/>
      <c r="EI14" s="201"/>
      <c r="EJ14" s="129"/>
      <c r="EK14" s="129"/>
      <c r="EL14" s="200" t="s">
        <v>36</v>
      </c>
      <c r="EM14" s="200"/>
      <c r="EN14" s="200"/>
      <c r="EO14" s="200"/>
      <c r="EP14" s="104"/>
      <c r="EQ14" s="104"/>
      <c r="ER14" s="201" t="s">
        <v>24</v>
      </c>
      <c r="ES14" s="201"/>
      <c r="ET14" s="201"/>
      <c r="EU14" s="201"/>
      <c r="EV14" s="129"/>
      <c r="EW14" s="129"/>
      <c r="EX14" s="200" t="s">
        <v>37</v>
      </c>
      <c r="EY14" s="200"/>
      <c r="EZ14" s="200"/>
      <c r="FA14" s="200"/>
      <c r="FB14" s="104"/>
      <c r="FC14" s="104"/>
      <c r="FD14" s="201" t="s">
        <v>25</v>
      </c>
      <c r="FE14" s="201"/>
      <c r="FF14" s="201"/>
      <c r="FG14" s="201"/>
      <c r="FH14" s="129"/>
      <c r="FI14" s="129"/>
      <c r="FJ14" s="200" t="s">
        <v>38</v>
      </c>
      <c r="FK14" s="200"/>
      <c r="FL14" s="200"/>
      <c r="FM14" s="200"/>
      <c r="FN14" s="104"/>
      <c r="FO14" s="104"/>
      <c r="FP14" s="201" t="s">
        <v>26</v>
      </c>
      <c r="FQ14" s="201"/>
      <c r="FR14" s="201"/>
      <c r="FS14" s="201"/>
      <c r="FT14" s="129"/>
      <c r="FU14" s="129"/>
      <c r="FV14" s="200" t="s">
        <v>39</v>
      </c>
      <c r="FW14" s="200"/>
      <c r="FX14" s="200"/>
      <c r="FY14" s="200"/>
      <c r="FZ14" s="104"/>
      <c r="GA14" s="104"/>
      <c r="GB14" s="104"/>
      <c r="GC14" s="105"/>
      <c r="GD14" s="103"/>
      <c r="GE14" s="104"/>
      <c r="GF14" s="104"/>
      <c r="GG14" s="104"/>
      <c r="GH14" s="200" t="s">
        <v>35</v>
      </c>
      <c r="GI14" s="200"/>
      <c r="GJ14" s="200"/>
      <c r="GK14" s="200"/>
      <c r="GL14" s="104"/>
      <c r="GM14" s="104"/>
      <c r="GN14" s="201" t="s">
        <v>23</v>
      </c>
      <c r="GO14" s="201"/>
      <c r="GP14" s="201"/>
      <c r="GQ14" s="201"/>
      <c r="GR14" s="129"/>
      <c r="GS14" s="129"/>
      <c r="GT14" s="200" t="s">
        <v>36</v>
      </c>
      <c r="GU14" s="200"/>
      <c r="GV14" s="200"/>
      <c r="GW14" s="200"/>
      <c r="GX14" s="104"/>
      <c r="GY14" s="104"/>
      <c r="GZ14" s="201" t="s">
        <v>24</v>
      </c>
      <c r="HA14" s="201"/>
      <c r="HB14" s="201"/>
      <c r="HC14" s="201"/>
      <c r="HD14" s="129"/>
      <c r="HE14" s="129"/>
      <c r="HF14" s="200" t="s">
        <v>37</v>
      </c>
      <c r="HG14" s="200"/>
      <c r="HH14" s="200"/>
      <c r="HI14" s="200"/>
      <c r="HJ14" s="104"/>
      <c r="HK14" s="104"/>
      <c r="HL14" s="201" t="s">
        <v>25</v>
      </c>
      <c r="HM14" s="201"/>
      <c r="HN14" s="201"/>
      <c r="HO14" s="201"/>
      <c r="HP14" s="129"/>
      <c r="HQ14" s="129"/>
      <c r="HR14" s="200" t="s">
        <v>38</v>
      </c>
      <c r="HS14" s="200"/>
      <c r="HT14" s="200"/>
      <c r="HU14" s="200"/>
      <c r="HV14" s="104"/>
      <c r="HW14" s="104"/>
      <c r="HX14" s="201" t="s">
        <v>26</v>
      </c>
      <c r="HY14" s="201"/>
      <c r="HZ14" s="201"/>
      <c r="IA14" s="201"/>
      <c r="IB14" s="129"/>
      <c r="IC14" s="129"/>
      <c r="ID14" s="200" t="s">
        <v>39</v>
      </c>
      <c r="IE14" s="200"/>
      <c r="IF14" s="200"/>
      <c r="IG14" s="200"/>
      <c r="IH14" s="104"/>
      <c r="II14" s="104"/>
      <c r="IJ14" s="104"/>
      <c r="IK14" s="105"/>
      <c r="IL14" s="103"/>
      <c r="IM14" s="104"/>
      <c r="IN14" s="104"/>
      <c r="IO14" s="104"/>
      <c r="IP14" s="200" t="s">
        <v>35</v>
      </c>
      <c r="IQ14" s="200"/>
      <c r="IR14" s="200"/>
      <c r="IS14" s="200"/>
      <c r="IT14" s="104"/>
      <c r="IU14" s="104"/>
      <c r="IV14" s="201" t="s">
        <v>23</v>
      </c>
      <c r="IW14" s="201"/>
      <c r="IX14" s="201"/>
      <c r="IY14" s="201"/>
      <c r="IZ14" s="129"/>
      <c r="JA14" s="129"/>
      <c r="JB14" s="200" t="s">
        <v>36</v>
      </c>
      <c r="JC14" s="200"/>
      <c r="JD14" s="200"/>
      <c r="JE14" s="200"/>
      <c r="JF14" s="104"/>
      <c r="JG14" s="104"/>
      <c r="JH14" s="201" t="s">
        <v>24</v>
      </c>
      <c r="JI14" s="201"/>
      <c r="JJ14" s="201"/>
      <c r="JK14" s="201"/>
      <c r="JL14" s="129"/>
      <c r="JM14" s="129"/>
      <c r="JN14" s="200" t="s">
        <v>37</v>
      </c>
      <c r="JO14" s="200"/>
      <c r="JP14" s="200"/>
      <c r="JQ14" s="200"/>
      <c r="JR14" s="104"/>
      <c r="JS14" s="104"/>
      <c r="JT14" s="201" t="s">
        <v>25</v>
      </c>
      <c r="JU14" s="201"/>
      <c r="JV14" s="201"/>
      <c r="JW14" s="201"/>
      <c r="JX14" s="129"/>
      <c r="JY14" s="129"/>
      <c r="JZ14" s="200" t="s">
        <v>38</v>
      </c>
      <c r="KA14" s="200"/>
      <c r="KB14" s="200"/>
      <c r="KC14" s="200"/>
      <c r="KD14" s="104"/>
      <c r="KE14" s="104"/>
      <c r="KF14" s="201" t="s">
        <v>26</v>
      </c>
      <c r="KG14" s="201"/>
      <c r="KH14" s="201"/>
      <c r="KI14" s="201"/>
      <c r="KJ14" s="129"/>
      <c r="KK14" s="129"/>
      <c r="KL14" s="200" t="s">
        <v>39</v>
      </c>
      <c r="KM14" s="200"/>
      <c r="KN14" s="200"/>
      <c r="KO14" s="200"/>
      <c r="KP14" s="104"/>
      <c r="KQ14" s="104"/>
      <c r="KR14" s="104"/>
      <c r="KS14" s="105"/>
      <c r="KT14" s="90"/>
    </row>
    <row r="15" spans="1:306" ht="20.100000000000001" customHeight="1" x14ac:dyDescent="0.25">
      <c r="A15" s="100" t="s">
        <v>19</v>
      </c>
      <c r="B15" s="63" t="str">
        <f>IF(LEN(C15)=0,"",C15)</f>
        <v xml:space="preserve">Absences - imprévus </v>
      </c>
      <c r="C15" s="187"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90"/>
    </row>
    <row r="16" spans="1:306" ht="20.100000000000001" customHeight="1" x14ac:dyDescent="0.25">
      <c r="A16" s="100" t="s">
        <v>20</v>
      </c>
      <c r="B16" s="63" t="str">
        <f>IF(LEN(C17)=0,"",C17)</f>
        <v>Analyse - Planification initiale</v>
      </c>
      <c r="C16" s="189"/>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90"/>
    </row>
    <row r="17" spans="1:306" ht="20.100000000000001" customHeight="1" x14ac:dyDescent="0.25">
      <c r="A17" s="100" t="s">
        <v>19</v>
      </c>
      <c r="B17" s="63" t="str">
        <f>IF(LEN(C19)=0,"",C19)</f>
        <v>Réalisation - Interfaces</v>
      </c>
      <c r="C17" s="187" t="s">
        <v>31</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90"/>
    </row>
    <row r="18" spans="1:306" ht="20.100000000000001" customHeight="1" x14ac:dyDescent="0.3">
      <c r="A18" s="100" t="s">
        <v>20</v>
      </c>
      <c r="B18" s="63" t="str">
        <f>IF(LEN(C21)=0,"",C21)</f>
        <v>Doc - Journal de travail</v>
      </c>
      <c r="C18" s="189"/>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90"/>
    </row>
    <row r="19" spans="1:306" ht="20.100000000000001" customHeight="1" x14ac:dyDescent="0.25">
      <c r="A19" s="100" t="s">
        <v>19</v>
      </c>
      <c r="B19" s="63" t="str">
        <f>IF(LEN(C23)=0,"",C23)</f>
        <v>Doc - Rapport</v>
      </c>
      <c r="C19" s="187" t="s">
        <v>32</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90"/>
    </row>
    <row r="20" spans="1:306" ht="20.100000000000001" customHeight="1" x14ac:dyDescent="0.25">
      <c r="A20" s="100" t="s">
        <v>20</v>
      </c>
      <c r="B20" s="63" t="str">
        <f>IF(LEN(C25)=0,"",C25)</f>
        <v>Écouter consignes</v>
      </c>
      <c r="C20" s="188"/>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90"/>
    </row>
    <row r="21" spans="1:306" ht="20.100000000000001" customHeight="1" x14ac:dyDescent="0.25">
      <c r="A21" s="100" t="s">
        <v>19</v>
      </c>
      <c r="B21" s="63" t="str">
        <f>IF(LEN(C27)=0,"",C27)</f>
        <v>Recherche, Documentation</v>
      </c>
      <c r="C21" s="187" t="s">
        <v>16</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90"/>
    </row>
    <row r="22" spans="1:306" ht="20.100000000000001" customHeight="1" x14ac:dyDescent="0.25">
      <c r="A22" s="100" t="s">
        <v>20</v>
      </c>
      <c r="B22" s="63" t="str">
        <f>IF(LEN(C29)=0,"",C29)</f>
        <v>Coder</v>
      </c>
      <c r="C22" s="188"/>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90"/>
    </row>
    <row r="23" spans="1:306" ht="20.100000000000001" customHeight="1" x14ac:dyDescent="0.25">
      <c r="A23" s="100" t="s">
        <v>19</v>
      </c>
      <c r="B23" s="63" t="str">
        <f>IF(LEN(C31)=0,"",C31)</f>
        <v/>
      </c>
      <c r="C23" s="187" t="s">
        <v>15</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90"/>
    </row>
    <row r="24" spans="1:306" ht="20.100000000000001" customHeight="1" x14ac:dyDescent="0.25">
      <c r="A24" s="100" t="s">
        <v>20</v>
      </c>
      <c r="B24" s="63" t="str">
        <f>IF(LEN(C33)=0,"",C33)</f>
        <v/>
      </c>
      <c r="C24" s="188"/>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90"/>
    </row>
    <row r="25" spans="1:306" ht="20.100000000000001" customHeight="1" x14ac:dyDescent="0.25">
      <c r="A25" s="100" t="s">
        <v>19</v>
      </c>
      <c r="B25" s="63" t="str">
        <f>IF(LEN(C35)=0,"",C35)</f>
        <v/>
      </c>
      <c r="C25" s="187" t="s">
        <v>49</v>
      </c>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90"/>
    </row>
    <row r="26" spans="1:306" ht="20.100000000000001" customHeight="1" x14ac:dyDescent="0.3">
      <c r="A26" s="100" t="s">
        <v>20</v>
      </c>
      <c r="B26" s="63" t="str">
        <f>IF(LEN(C37)=0,"",C37)</f>
        <v/>
      </c>
      <c r="C26" s="189"/>
      <c r="D26" s="149" t="str">
        <f t="shared" si="0"/>
        <v>1h5min</v>
      </c>
      <c r="E26" s="35">
        <v>13</v>
      </c>
      <c r="F26" s="168"/>
      <c r="G26" s="169"/>
      <c r="H26" s="169"/>
      <c r="I26" s="169"/>
      <c r="J26" s="170"/>
      <c r="K26" s="171"/>
      <c r="L26" s="170"/>
      <c r="M26" s="170"/>
      <c r="N26" s="170"/>
      <c r="O26" s="170"/>
      <c r="P26" s="170"/>
      <c r="Q26" s="172"/>
      <c r="R26" s="170"/>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90"/>
    </row>
    <row r="27" spans="1:306" ht="20.100000000000001" customHeight="1" x14ac:dyDescent="0.25">
      <c r="A27" s="100" t="s">
        <v>19</v>
      </c>
      <c r="B27" s="63" t="str">
        <f>IF(LEN(C39)=0,"",C39)</f>
        <v/>
      </c>
      <c r="C27" s="187" t="s">
        <v>50</v>
      </c>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90"/>
    </row>
    <row r="28" spans="1:306" ht="20.100000000000001" customHeight="1" x14ac:dyDescent="0.3">
      <c r="A28" s="100" t="s">
        <v>20</v>
      </c>
      <c r="B28" s="63" t="str">
        <f>IF(LEN(C41)=0,"",C41)</f>
        <v/>
      </c>
      <c r="C28" s="189"/>
      <c r="D28" s="149" t="str">
        <f t="shared" si="0"/>
        <v>4h35min</v>
      </c>
      <c r="E28" s="27">
        <v>55</v>
      </c>
      <c r="F28" s="28"/>
      <c r="G28" s="67"/>
      <c r="H28" s="67"/>
      <c r="I28" s="67"/>
      <c r="J28" s="29"/>
      <c r="K28" s="131"/>
      <c r="L28" s="29"/>
      <c r="M28" s="29"/>
      <c r="N28" s="29"/>
      <c r="O28" s="29"/>
      <c r="P28" s="29"/>
      <c r="Q28" s="136"/>
      <c r="R28" s="29"/>
      <c r="S28" s="180"/>
      <c r="T28" s="180"/>
      <c r="U28" s="180"/>
      <c r="V28" s="180"/>
      <c r="W28" s="183"/>
      <c r="X28" s="180"/>
      <c r="Y28" s="180"/>
      <c r="Z28" s="180"/>
      <c r="AA28" s="180"/>
      <c r="AB28" s="180"/>
      <c r="AC28" s="182"/>
      <c r="AD28" s="180"/>
      <c r="AE28" s="180"/>
      <c r="AF28" s="180"/>
      <c r="AG28" s="180"/>
      <c r="AH28" s="180"/>
      <c r="AI28" s="183"/>
      <c r="AJ28" s="179"/>
      <c r="AK28" s="179"/>
      <c r="AL28" s="179"/>
      <c r="AM28" s="179"/>
      <c r="AN28" s="180"/>
      <c r="AO28" s="182"/>
      <c r="AP28" s="180"/>
      <c r="AQ28" s="180"/>
      <c r="AR28" s="180"/>
      <c r="AS28" s="180"/>
      <c r="AT28" s="180"/>
      <c r="AU28" s="183"/>
      <c r="AV28" s="180"/>
      <c r="AW28" s="180"/>
      <c r="AX28" s="180"/>
      <c r="AY28" s="180"/>
      <c r="AZ28" s="180"/>
      <c r="BA28" s="182"/>
      <c r="BB28" s="180"/>
      <c r="BC28" s="180"/>
      <c r="BD28" s="180"/>
      <c r="BE28" s="29"/>
      <c r="BF28" s="29"/>
      <c r="BG28" s="73"/>
      <c r="BH28" s="29"/>
      <c r="BI28" s="29"/>
      <c r="BJ28" s="29"/>
      <c r="BK28" s="29"/>
      <c r="BL28" s="29"/>
      <c r="BM28" s="30"/>
      <c r="BN28" s="178"/>
      <c r="BO28" s="179"/>
      <c r="BP28" s="179"/>
      <c r="BQ28" s="179"/>
      <c r="BR28" s="180"/>
      <c r="BS28" s="181"/>
      <c r="BT28" s="29"/>
      <c r="BU28" s="29"/>
      <c r="BV28" s="29"/>
      <c r="BW28" s="180"/>
      <c r="BX28" s="180"/>
      <c r="BY28" s="182"/>
      <c r="BZ28" s="180"/>
      <c r="CA28" s="180"/>
      <c r="CB28" s="180"/>
      <c r="CC28" s="180"/>
      <c r="CD28" s="180"/>
      <c r="CE28" s="183"/>
      <c r="CF28" s="180"/>
      <c r="CG28" s="180"/>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90"/>
    </row>
    <row r="29" spans="1:306" ht="20.100000000000001" customHeight="1" x14ac:dyDescent="0.25">
      <c r="A29" s="100" t="s">
        <v>19</v>
      </c>
      <c r="B29" s="63" t="str">
        <f>IF(LEN(C43)=0,"",C43)</f>
        <v/>
      </c>
      <c r="C29" s="187" t="s">
        <v>57</v>
      </c>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90"/>
    </row>
    <row r="30" spans="1:306" ht="20.100000000000001" customHeight="1" x14ac:dyDescent="0.3">
      <c r="A30" s="100" t="s">
        <v>20</v>
      </c>
      <c r="B30" s="63" t="str">
        <f>IF(LEN(C45)=0,"",C45)</f>
        <v/>
      </c>
      <c r="C30" s="189"/>
      <c r="D30" s="149" t="str">
        <f t="shared" si="0"/>
        <v>11h55min</v>
      </c>
      <c r="E30" s="35">
        <v>143</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170"/>
      <c r="BU30" s="170"/>
      <c r="BV30" s="170"/>
      <c r="BW30" s="37"/>
      <c r="BX30" s="37"/>
      <c r="BY30" s="138"/>
      <c r="BZ30" s="37"/>
      <c r="CA30" s="37"/>
      <c r="CB30" s="37"/>
      <c r="CC30" s="37"/>
      <c r="CD30" s="37"/>
      <c r="CE30" s="75"/>
      <c r="CF30" s="37"/>
      <c r="CG30" s="37"/>
      <c r="CH30" s="170"/>
      <c r="CI30" s="170"/>
      <c r="CJ30" s="170"/>
      <c r="CK30" s="172"/>
      <c r="CL30" s="170"/>
      <c r="CM30" s="170"/>
      <c r="CN30" s="170"/>
      <c r="CO30" s="170"/>
      <c r="CP30" s="170"/>
      <c r="CQ30" s="177"/>
      <c r="CR30" s="169"/>
      <c r="CS30" s="169"/>
      <c r="CT30" s="169"/>
      <c r="CU30" s="169"/>
      <c r="CV30" s="170"/>
      <c r="CW30" s="172"/>
      <c r="CX30" s="170"/>
      <c r="CY30" s="170"/>
      <c r="CZ30" s="170"/>
      <c r="DA30" s="170"/>
      <c r="DB30" s="170"/>
      <c r="DC30" s="177"/>
      <c r="DD30" s="170"/>
      <c r="DE30" s="170"/>
      <c r="DF30" s="170"/>
      <c r="DG30" s="170"/>
      <c r="DH30" s="170"/>
      <c r="DI30" s="172"/>
      <c r="DJ30" s="170"/>
      <c r="DK30" s="37"/>
      <c r="DL30" s="37"/>
      <c r="DM30" s="37"/>
      <c r="DN30" s="37"/>
      <c r="DO30" s="75"/>
      <c r="DP30" s="37"/>
      <c r="DQ30" s="37"/>
      <c r="DR30" s="37"/>
      <c r="DS30" s="37"/>
      <c r="DT30" s="37"/>
      <c r="DU30" s="38"/>
      <c r="DV30" s="168"/>
      <c r="DW30" s="169"/>
      <c r="DX30" s="169"/>
      <c r="DY30" s="169"/>
      <c r="DZ30" s="170"/>
      <c r="EA30" s="171"/>
      <c r="EB30" s="170"/>
      <c r="EC30" s="170"/>
      <c r="ED30" s="170"/>
      <c r="EE30" s="170"/>
      <c r="EF30" s="170"/>
      <c r="EG30" s="172"/>
      <c r="EH30" s="170"/>
      <c r="EI30" s="170"/>
      <c r="EJ30" s="170"/>
      <c r="EK30" s="170"/>
      <c r="EL30" s="170"/>
      <c r="EM30" s="177"/>
      <c r="EN30" s="170"/>
      <c r="EO30" s="170"/>
      <c r="EP30" s="170"/>
      <c r="EQ30" s="170"/>
      <c r="ER30" s="170"/>
      <c r="ES30" s="172"/>
      <c r="ET30" s="170"/>
      <c r="EU30" s="170"/>
      <c r="EV30" s="170"/>
      <c r="EW30" s="170"/>
      <c r="EX30" s="170"/>
      <c r="EY30" s="177"/>
      <c r="EZ30" s="169"/>
      <c r="FA30" s="169"/>
      <c r="FB30" s="169"/>
      <c r="FC30" s="169"/>
      <c r="FD30" s="170"/>
      <c r="FE30" s="172"/>
      <c r="FF30" s="170"/>
      <c r="FG30" s="170"/>
      <c r="FH30" s="170"/>
      <c r="FI30" s="170"/>
      <c r="FJ30" s="170"/>
      <c r="FK30" s="177"/>
      <c r="FL30" s="170"/>
      <c r="FM30" s="170"/>
      <c r="FN30" s="170"/>
      <c r="FO30" s="170"/>
      <c r="FP30" s="170"/>
      <c r="FQ30" s="172"/>
      <c r="FR30" s="170"/>
      <c r="FS30" s="170"/>
      <c r="FT30" s="170"/>
      <c r="FU30" s="170"/>
      <c r="FV30" s="37"/>
      <c r="FW30" s="75"/>
      <c r="FX30" s="37"/>
      <c r="FY30" s="37"/>
      <c r="FZ30" s="37"/>
      <c r="GA30" s="37"/>
      <c r="GB30" s="37"/>
      <c r="GC30" s="38"/>
      <c r="GD30" s="168"/>
      <c r="GE30" s="169"/>
      <c r="GF30" s="169"/>
      <c r="GG30" s="169"/>
      <c r="GH30" s="170"/>
      <c r="GI30" s="171"/>
      <c r="GJ30" s="170"/>
      <c r="GK30" s="170"/>
      <c r="GL30" s="170"/>
      <c r="GM30" s="170"/>
      <c r="GN30" s="170"/>
      <c r="GO30" s="172"/>
      <c r="GP30" s="170"/>
      <c r="GQ30" s="170"/>
      <c r="GR30" s="170"/>
      <c r="GS30" s="170"/>
      <c r="GT30" s="170"/>
      <c r="GU30" s="177"/>
      <c r="GV30" s="170"/>
      <c r="GW30" s="170"/>
      <c r="GX30" s="170"/>
      <c r="GY30" s="170"/>
      <c r="GZ30" s="170"/>
      <c r="HA30" s="172"/>
      <c r="HB30" s="170"/>
      <c r="HC30" s="170"/>
      <c r="HD30" s="170"/>
      <c r="HE30" s="170"/>
      <c r="HF30" s="170"/>
      <c r="HG30" s="177"/>
      <c r="HH30" s="169"/>
      <c r="HI30" s="169"/>
      <c r="HJ30" s="169"/>
      <c r="HK30" s="169"/>
      <c r="HL30" s="170"/>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168"/>
      <c r="IM30" s="169"/>
      <c r="IN30" s="169"/>
      <c r="IO30" s="169"/>
      <c r="IP30" s="170"/>
      <c r="IQ30" s="171"/>
      <c r="IR30" s="170"/>
      <c r="IS30" s="170"/>
      <c r="IT30" s="170"/>
      <c r="IU30" s="170"/>
      <c r="IV30" s="170"/>
      <c r="IW30" s="172"/>
      <c r="IX30" s="170"/>
      <c r="IY30" s="170"/>
      <c r="IZ30" s="170"/>
      <c r="JA30" s="170"/>
      <c r="JB30" s="170"/>
      <c r="JC30" s="177"/>
      <c r="JD30" s="170"/>
      <c r="JE30" s="170"/>
      <c r="JF30" s="170"/>
      <c r="JG30" s="170"/>
      <c r="JH30" s="170"/>
      <c r="JI30" s="172"/>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90"/>
    </row>
    <row r="31" spans="1:306" ht="20.100000000000001" customHeight="1" x14ac:dyDescent="0.25">
      <c r="A31" s="100" t="s">
        <v>19</v>
      </c>
      <c r="B31" s="63" t="str">
        <f>IF(LEN(C47)=0,"",C47)</f>
        <v/>
      </c>
      <c r="C31" s="187"/>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90"/>
    </row>
    <row r="32" spans="1:306" ht="20.100000000000001" customHeight="1" x14ac:dyDescent="0.3">
      <c r="A32" s="100" t="s">
        <v>20</v>
      </c>
      <c r="B32" s="63" t="str">
        <f>IF(LEN(C49)=0,"",C49)</f>
        <v/>
      </c>
      <c r="C32" s="189"/>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90"/>
    </row>
    <row r="33" spans="1:306" ht="20.100000000000001" customHeight="1" x14ac:dyDescent="0.25">
      <c r="A33" s="100" t="s">
        <v>19</v>
      </c>
      <c r="B33" s="63" t="str">
        <f>IF(LEN(C51)=0,"",C51)</f>
        <v/>
      </c>
      <c r="C33" s="187"/>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90"/>
    </row>
    <row r="34" spans="1:306" ht="20.100000000000001" customHeight="1" x14ac:dyDescent="0.3">
      <c r="A34" s="100" t="s">
        <v>20</v>
      </c>
      <c r="B34" s="63" t="str">
        <f>IF(LEN(C53)=0,"",C53)</f>
        <v/>
      </c>
      <c r="C34" s="189"/>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90"/>
    </row>
    <row r="35" spans="1:306" ht="20.100000000000001" customHeight="1" x14ac:dyDescent="0.25">
      <c r="A35" s="100" t="s">
        <v>19</v>
      </c>
      <c r="B35" s="63" t="str">
        <f>IF(LEN(C55)=0,"",C55)</f>
        <v/>
      </c>
      <c r="C35" s="187"/>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90"/>
    </row>
    <row r="36" spans="1:306" ht="20.100000000000001" customHeight="1" x14ac:dyDescent="0.25">
      <c r="A36" s="100" t="s">
        <v>20</v>
      </c>
      <c r="B36" s="63" t="str">
        <f>IF(LEN(C57)=0,"",C57)</f>
        <v/>
      </c>
      <c r="C36" s="188"/>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90"/>
    </row>
    <row r="37" spans="1:306" ht="20.100000000000001" customHeight="1" x14ac:dyDescent="0.25">
      <c r="A37" s="100" t="s">
        <v>19</v>
      </c>
      <c r="B37" s="63" t="str">
        <f>IF(LEN(C59)=0,"",C59)</f>
        <v/>
      </c>
      <c r="C37" s="187"/>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90"/>
    </row>
    <row r="38" spans="1:306" ht="20.100000000000001" customHeight="1" x14ac:dyDescent="0.3">
      <c r="A38" s="100" t="s">
        <v>20</v>
      </c>
      <c r="B38" s="63" t="str">
        <f>IF(LEN(C61)=0,"",C61)</f>
        <v/>
      </c>
      <c r="C38" s="189"/>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90"/>
    </row>
    <row r="39" spans="1:306" ht="20.100000000000001" customHeight="1" x14ac:dyDescent="0.25">
      <c r="A39" s="100" t="s">
        <v>19</v>
      </c>
      <c r="B39" s="63" t="str">
        <f>IF(LEN(C63)=0,"",C63)</f>
        <v/>
      </c>
      <c r="C39" s="187"/>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90"/>
    </row>
    <row r="40" spans="1:306" ht="20.100000000000001" customHeight="1" x14ac:dyDescent="0.25">
      <c r="A40" s="100" t="s">
        <v>20</v>
      </c>
      <c r="B40" s="63" t="str">
        <f>IF(LEN(C65)=0,"",C65)</f>
        <v/>
      </c>
      <c r="C40" s="188"/>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90"/>
    </row>
    <row r="41" spans="1:306" ht="20.100000000000001" customHeight="1" x14ac:dyDescent="0.25">
      <c r="A41" s="100" t="s">
        <v>19</v>
      </c>
      <c r="B41" s="63" t="str">
        <f>IF(LEN(C67)=0,"",C67)</f>
        <v/>
      </c>
      <c r="C41" s="187"/>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90"/>
    </row>
    <row r="42" spans="1:306" ht="20.100000000000001" customHeight="1" x14ac:dyDescent="0.3">
      <c r="A42" s="100" t="s">
        <v>20</v>
      </c>
      <c r="B42" s="63" t="str">
        <f>IF(LEN(C69)=0,"",C69)</f>
        <v/>
      </c>
      <c r="C42" s="189"/>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90"/>
    </row>
    <row r="43" spans="1:306" ht="20.100000000000001" customHeight="1" x14ac:dyDescent="0.25">
      <c r="A43" s="100" t="s">
        <v>19</v>
      </c>
      <c r="B43" s="63" t="str">
        <f>IF(LEN(C71)=0,"",C71)</f>
        <v/>
      </c>
      <c r="C43" s="187"/>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90"/>
    </row>
    <row r="44" spans="1:306" ht="20.100000000000001" customHeight="1" x14ac:dyDescent="0.3">
      <c r="A44" s="100" t="s">
        <v>20</v>
      </c>
      <c r="B44" s="63" t="str">
        <f>IF(LEN(C73)=0,"",C73)</f>
        <v/>
      </c>
      <c r="C44" s="189"/>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90"/>
    </row>
    <row r="45" spans="1:306" ht="20.100000000000001" customHeight="1" x14ac:dyDescent="0.25">
      <c r="A45" s="100" t="s">
        <v>19</v>
      </c>
      <c r="B45" s="63" t="str">
        <f>IF(LEN(C75)=0,"",C75)</f>
        <v/>
      </c>
      <c r="C45" s="187"/>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90"/>
    </row>
    <row r="46" spans="1:306" ht="20.100000000000001" customHeight="1" x14ac:dyDescent="0.25">
      <c r="A46" s="100" t="s">
        <v>20</v>
      </c>
      <c r="B46" s="63" t="str">
        <f>IF(LEN(C77)=0,"",C77)</f>
        <v/>
      </c>
      <c r="C46" s="188"/>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90"/>
    </row>
    <row r="47" spans="1:306" ht="20.100000000000001" customHeight="1" x14ac:dyDescent="0.25">
      <c r="A47" s="100" t="s">
        <v>19</v>
      </c>
      <c r="B47" s="63" t="str">
        <f>IF(LEN(C79)=0,"",C79)</f>
        <v/>
      </c>
      <c r="C47" s="187"/>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90"/>
    </row>
    <row r="48" spans="1:306" ht="20.100000000000001" customHeight="1" x14ac:dyDescent="0.3">
      <c r="A48" s="100" t="s">
        <v>20</v>
      </c>
      <c r="B48" s="63" t="str">
        <f>IF(LEN(C81)=0,"",C81)</f>
        <v/>
      </c>
      <c r="C48" s="189"/>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90"/>
    </row>
    <row r="49" spans="1:306" ht="20.100000000000001" customHeight="1" x14ac:dyDescent="0.25">
      <c r="A49" s="100" t="s">
        <v>19</v>
      </c>
      <c r="B49" s="63" t="str">
        <f>IF(LEN(C83)=0,"",C83)</f>
        <v/>
      </c>
      <c r="C49" s="187"/>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90"/>
    </row>
    <row r="50" spans="1:306" ht="20.100000000000001" customHeight="1" x14ac:dyDescent="0.3">
      <c r="A50" s="100" t="s">
        <v>20</v>
      </c>
      <c r="B50" s="63" t="str">
        <f>IF(LEN(C85)=0,"",C85)</f>
        <v/>
      </c>
      <c r="C50" s="189"/>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90"/>
    </row>
    <row r="51" spans="1:306" ht="20.100000000000001" customHeight="1" x14ac:dyDescent="0.25">
      <c r="A51" s="100" t="s">
        <v>19</v>
      </c>
      <c r="B51" s="63" t="str">
        <f>IF(LEN(C87)=0,"",C87)</f>
        <v/>
      </c>
      <c r="C51" s="187"/>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90"/>
    </row>
    <row r="52" spans="1:306" ht="20.100000000000001" customHeight="1" x14ac:dyDescent="0.25">
      <c r="A52" s="100" t="s">
        <v>20</v>
      </c>
      <c r="B52" s="63" t="str">
        <f>IF(LEN(C89)=0,"",C89)</f>
        <v/>
      </c>
      <c r="C52" s="188"/>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90"/>
    </row>
    <row r="53" spans="1:306" ht="20.100000000000001" customHeight="1" x14ac:dyDescent="0.25">
      <c r="A53" s="100" t="s">
        <v>19</v>
      </c>
      <c r="B53" s="63" t="str">
        <f>IF(LEN(C91)=0,"",C91)</f>
        <v/>
      </c>
      <c r="C53" s="187"/>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90"/>
    </row>
    <row r="54" spans="1:306" ht="20.100000000000001" customHeight="1" x14ac:dyDescent="0.3">
      <c r="A54" s="100" t="s">
        <v>20</v>
      </c>
      <c r="B54" s="63" t="str">
        <f>IF(LEN(C93)=0,"",C93)</f>
        <v/>
      </c>
      <c r="C54" s="189"/>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90"/>
    </row>
    <row r="55" spans="1:306" ht="20.100000000000001" customHeight="1" x14ac:dyDescent="0.25">
      <c r="A55" s="100" t="s">
        <v>19</v>
      </c>
      <c r="B55" s="63"/>
      <c r="C55" s="187"/>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90"/>
    </row>
    <row r="56" spans="1:306" ht="20.100000000000001" customHeight="1" x14ac:dyDescent="0.25">
      <c r="A56" s="100" t="s">
        <v>20</v>
      </c>
      <c r="B56" s="63"/>
      <c r="C56" s="188"/>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90"/>
    </row>
    <row r="57" spans="1:306" ht="20.100000000000001" customHeight="1" x14ac:dyDescent="0.25">
      <c r="A57" s="100" t="s">
        <v>19</v>
      </c>
      <c r="B57" s="63"/>
      <c r="C57" s="187"/>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90"/>
    </row>
    <row r="58" spans="1:306" ht="20.100000000000001" customHeight="1" x14ac:dyDescent="0.3">
      <c r="A58" s="100" t="s">
        <v>20</v>
      </c>
      <c r="B58" s="63"/>
      <c r="C58" s="189"/>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90"/>
    </row>
    <row r="59" spans="1:306" ht="20.100000000000001" customHeight="1" x14ac:dyDescent="0.25">
      <c r="A59" s="100" t="s">
        <v>19</v>
      </c>
      <c r="B59" s="63"/>
      <c r="C59" s="187"/>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90"/>
    </row>
    <row r="60" spans="1:306" ht="20.100000000000001" customHeight="1" x14ac:dyDescent="0.3">
      <c r="A60" s="100" t="s">
        <v>20</v>
      </c>
      <c r="B60" s="63"/>
      <c r="C60" s="189"/>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90"/>
    </row>
    <row r="61" spans="1:306" ht="20.100000000000001" customHeight="1" x14ac:dyDescent="0.25">
      <c r="A61" s="100" t="s">
        <v>19</v>
      </c>
      <c r="B61" s="63"/>
      <c r="C61" s="187"/>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90"/>
    </row>
    <row r="62" spans="1:306" ht="20.100000000000001" customHeight="1" x14ac:dyDescent="0.25">
      <c r="A62" s="100" t="s">
        <v>20</v>
      </c>
      <c r="B62" s="63"/>
      <c r="C62" s="188"/>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90"/>
    </row>
    <row r="63" spans="1:306" ht="20.100000000000001" customHeight="1" x14ac:dyDescent="0.25">
      <c r="A63" s="100" t="s">
        <v>19</v>
      </c>
      <c r="B63" s="63"/>
      <c r="C63" s="187"/>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90"/>
    </row>
    <row r="64" spans="1:306" ht="20.100000000000001" customHeight="1" x14ac:dyDescent="0.3">
      <c r="A64" s="100" t="s">
        <v>20</v>
      </c>
      <c r="B64" s="63"/>
      <c r="C64" s="189"/>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90"/>
    </row>
    <row r="65" spans="1:306" ht="20.100000000000001" customHeight="1" x14ac:dyDescent="0.25">
      <c r="A65" s="100" t="s">
        <v>19</v>
      </c>
      <c r="B65" s="63"/>
      <c r="C65" s="187"/>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90"/>
    </row>
    <row r="66" spans="1:306" ht="20.100000000000001" customHeight="1" x14ac:dyDescent="0.3">
      <c r="A66" s="100" t="s">
        <v>20</v>
      </c>
      <c r="B66" s="63"/>
      <c r="C66" s="189"/>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90"/>
    </row>
    <row r="67" spans="1:306" ht="20.100000000000001" customHeight="1" x14ac:dyDescent="0.25">
      <c r="A67" s="100" t="s">
        <v>19</v>
      </c>
      <c r="B67" s="63"/>
      <c r="C67" s="187"/>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90"/>
    </row>
    <row r="68" spans="1:306" ht="20.100000000000001" customHeight="1" x14ac:dyDescent="0.25">
      <c r="A68" s="100" t="s">
        <v>20</v>
      </c>
      <c r="B68" s="63"/>
      <c r="C68" s="188"/>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90"/>
    </row>
    <row r="69" spans="1:306" ht="20.100000000000001" customHeight="1" x14ac:dyDescent="0.25">
      <c r="A69" s="100" t="s">
        <v>19</v>
      </c>
      <c r="B69" s="63"/>
      <c r="C69" s="187"/>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90"/>
    </row>
    <row r="70" spans="1:306" ht="20.100000000000001" customHeight="1" x14ac:dyDescent="0.3">
      <c r="A70" s="100" t="s">
        <v>20</v>
      </c>
      <c r="B70" s="63"/>
      <c r="C70" s="189"/>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90"/>
    </row>
    <row r="71" spans="1:306" ht="20.100000000000001" customHeight="1" x14ac:dyDescent="0.25">
      <c r="A71" s="100" t="s">
        <v>19</v>
      </c>
      <c r="B71" s="63"/>
      <c r="C71" s="187"/>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90"/>
    </row>
    <row r="72" spans="1:306" ht="20.100000000000001" customHeight="1" x14ac:dyDescent="0.25">
      <c r="A72" s="100" t="s">
        <v>20</v>
      </c>
      <c r="B72" s="63"/>
      <c r="C72" s="188"/>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90"/>
    </row>
    <row r="73" spans="1:306" ht="20.100000000000001" customHeight="1" x14ac:dyDescent="0.25">
      <c r="A73" s="100" t="s">
        <v>19</v>
      </c>
      <c r="B73" s="63"/>
      <c r="C73" s="187"/>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90"/>
    </row>
    <row r="74" spans="1:306" ht="20.100000000000001" customHeight="1" x14ac:dyDescent="0.3">
      <c r="A74" s="100" t="s">
        <v>20</v>
      </c>
      <c r="B74" s="63"/>
      <c r="C74" s="189"/>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90"/>
    </row>
    <row r="75" spans="1:306" ht="20.100000000000001" customHeight="1" x14ac:dyDescent="0.25">
      <c r="A75" s="100" t="s">
        <v>19</v>
      </c>
      <c r="B75" s="63"/>
      <c r="C75" s="187"/>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90"/>
    </row>
    <row r="76" spans="1:306" ht="20.100000000000001" customHeight="1" x14ac:dyDescent="0.3">
      <c r="A76" s="100" t="s">
        <v>20</v>
      </c>
      <c r="B76" s="63"/>
      <c r="C76" s="189"/>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90"/>
    </row>
    <row r="77" spans="1:306" ht="20.100000000000001" customHeight="1" x14ac:dyDescent="0.25">
      <c r="A77" s="100" t="s">
        <v>19</v>
      </c>
      <c r="B77" s="63"/>
      <c r="C77" s="187"/>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90"/>
    </row>
    <row r="78" spans="1:306" ht="20.100000000000001" customHeight="1" x14ac:dyDescent="0.25">
      <c r="A78" s="100" t="s">
        <v>20</v>
      </c>
      <c r="B78" s="63"/>
      <c r="C78" s="188"/>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90"/>
    </row>
    <row r="79" spans="1:306" ht="20.100000000000001" customHeight="1" x14ac:dyDescent="0.25">
      <c r="A79" s="100" t="s">
        <v>19</v>
      </c>
      <c r="B79" s="63"/>
      <c r="C79" s="187"/>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90"/>
    </row>
    <row r="80" spans="1:306" ht="20.100000000000001" customHeight="1" x14ac:dyDescent="0.3">
      <c r="A80" s="100" t="s">
        <v>20</v>
      </c>
      <c r="B80" s="63"/>
      <c r="C80" s="189"/>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90"/>
    </row>
    <row r="81" spans="1:306" ht="20.100000000000001" customHeight="1" x14ac:dyDescent="0.25">
      <c r="A81" s="100" t="s">
        <v>19</v>
      </c>
      <c r="B81" s="63"/>
      <c r="C81" s="187"/>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90"/>
    </row>
    <row r="82" spans="1:306" ht="20.100000000000001" customHeight="1" x14ac:dyDescent="0.3">
      <c r="A82" s="100" t="s">
        <v>20</v>
      </c>
      <c r="B82" s="63"/>
      <c r="C82" s="189"/>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90"/>
    </row>
    <row r="83" spans="1:306" ht="20.100000000000001" customHeight="1" x14ac:dyDescent="0.25">
      <c r="A83" s="100" t="s">
        <v>19</v>
      </c>
      <c r="B83" s="63"/>
      <c r="C83" s="187"/>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90"/>
    </row>
    <row r="84" spans="1:306" ht="20.100000000000001" customHeight="1" x14ac:dyDescent="0.25">
      <c r="A84" s="100" t="s">
        <v>20</v>
      </c>
      <c r="B84" s="63"/>
      <c r="C84" s="188"/>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90"/>
    </row>
    <row r="85" spans="1:306" ht="20.100000000000001" customHeight="1" x14ac:dyDescent="0.25">
      <c r="A85" s="100" t="s">
        <v>19</v>
      </c>
      <c r="B85" s="63"/>
      <c r="C85" s="187"/>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90"/>
    </row>
    <row r="86" spans="1:306" ht="20.100000000000001" customHeight="1" x14ac:dyDescent="0.3">
      <c r="A86" s="100" t="s">
        <v>20</v>
      </c>
      <c r="B86" s="63"/>
      <c r="C86" s="189"/>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90"/>
    </row>
    <row r="87" spans="1:306" ht="20.100000000000001" customHeight="1" x14ac:dyDescent="0.25">
      <c r="A87" s="100" t="s">
        <v>19</v>
      </c>
      <c r="B87" s="63"/>
      <c r="C87" s="187"/>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90"/>
    </row>
    <row r="88" spans="1:306" ht="20.100000000000001" customHeight="1" x14ac:dyDescent="0.25">
      <c r="A88" s="100" t="s">
        <v>20</v>
      </c>
      <c r="B88" s="63"/>
      <c r="C88" s="188"/>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90"/>
    </row>
    <row r="89" spans="1:306" ht="20.100000000000001" customHeight="1" x14ac:dyDescent="0.25">
      <c r="A89" s="100" t="s">
        <v>19</v>
      </c>
      <c r="B89" s="63"/>
      <c r="C89" s="187"/>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90"/>
    </row>
    <row r="90" spans="1:306" ht="20.100000000000001" customHeight="1" x14ac:dyDescent="0.3">
      <c r="A90" s="100" t="s">
        <v>20</v>
      </c>
      <c r="B90" s="63"/>
      <c r="C90" s="189"/>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90"/>
    </row>
    <row r="91" spans="1:306" ht="20.100000000000001" customHeight="1" x14ac:dyDescent="0.25">
      <c r="A91" s="100" t="s">
        <v>19</v>
      </c>
      <c r="B91" s="63"/>
      <c r="C91" s="187"/>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90"/>
    </row>
    <row r="92" spans="1:306" ht="20.100000000000001" customHeight="1" x14ac:dyDescent="0.3">
      <c r="A92" s="100" t="s">
        <v>20</v>
      </c>
      <c r="B92" s="63"/>
      <c r="C92" s="189"/>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90"/>
    </row>
    <row r="93" spans="1:306" ht="20.100000000000001" customHeight="1" x14ac:dyDescent="0.25">
      <c r="A93" s="100" t="s">
        <v>19</v>
      </c>
      <c r="B93" s="63"/>
      <c r="C93" s="187"/>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90"/>
    </row>
    <row r="94" spans="1:306" ht="20.100000000000001" customHeight="1" x14ac:dyDescent="0.25">
      <c r="A94" s="100" t="s">
        <v>20</v>
      </c>
      <c r="B94" s="63"/>
      <c r="C94" s="188"/>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90"/>
    </row>
    <row r="95" spans="1:306" ht="20.100000000000001" customHeight="1" x14ac:dyDescent="0.25">
      <c r="B95" s="96"/>
      <c r="C95" s="202" t="s">
        <v>9</v>
      </c>
      <c r="D95" s="203"/>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90"/>
    </row>
    <row r="96" spans="1:306" ht="20.100000000000001" customHeight="1" thickBot="1" x14ac:dyDescent="0.3">
      <c r="B96" s="96"/>
      <c r="C96" s="204"/>
      <c r="D96" s="205"/>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90"/>
    </row>
    <row r="97" spans="2:306" ht="20.100000000000001" customHeight="1" x14ac:dyDescent="0.25">
      <c r="B97" s="96"/>
      <c r="C97" s="206" t="s">
        <v>10</v>
      </c>
      <c r="D97" s="207"/>
      <c r="E97" s="118">
        <f>SUM(E16,E18,E20,E22,E24,E26,E28,E30,E32,E34,E36,E38,E40,E42,E44,E46,E48,E50,E52,E54,E56,E58,E60,E62,E64,E66,E68,E70,E72,E74,E76,E78,E80,E82,E84,E86,E88,E90,E92,E94)</f>
        <v>211</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24"/>
    </row>
    <row r="98" spans="2:306" ht="20.100000000000001" customHeight="1" thickBot="1" x14ac:dyDescent="0.3">
      <c r="B98" s="96"/>
      <c r="C98" s="208"/>
      <c r="D98" s="209"/>
      <c r="E98" s="122" t="str">
        <f xml:space="preserve"> setValueToTime(E97)</f>
        <v>17h35min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90"/>
    </row>
    <row r="99" spans="2:3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91"/>
    </row>
  </sheetData>
  <sheetProtection insertRows="0" insertHyperlinks="0" selectLockedCells="1"/>
  <mergeCells count="115">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73"/>
  <sheetViews>
    <sheetView showGridLines="0" tabSelected="1" zoomScaleNormal="100" zoomScaleSheetLayoutView="98" workbookViewId="0">
      <pane ySplit="1" topLeftCell="A2" activePane="bottomLeft" state="frozen"/>
      <selection pane="bottomLeft" activeCell="D9" sqref="D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6</v>
      </c>
      <c r="C2" s="165"/>
      <c r="D2" s="158" t="s">
        <v>14</v>
      </c>
      <c r="E2" s="159">
        <v>45272</v>
      </c>
      <c r="F2" s="184"/>
      <c r="G2" s="46"/>
    </row>
    <row r="3" spans="1:7" s="47" customFormat="1" ht="30" customHeight="1" thickBot="1" x14ac:dyDescent="0.3">
      <c r="A3" s="78" t="s">
        <v>5</v>
      </c>
      <c r="B3" s="162" t="s">
        <v>41</v>
      </c>
      <c r="C3" s="161"/>
      <c r="D3" s="78" t="s">
        <v>12</v>
      </c>
      <c r="E3" s="225" t="s">
        <v>13</v>
      </c>
      <c r="F3" s="226"/>
      <c r="G3" s="46"/>
    </row>
    <row r="4" spans="1:7" s="52" customFormat="1" ht="27" x14ac:dyDescent="0.3">
      <c r="A4" s="48" t="s">
        <v>50</v>
      </c>
      <c r="B4" s="49">
        <v>13</v>
      </c>
      <c r="C4" s="153" t="str">
        <f xml:space="preserve"> IF(B4="","",setValueToTime(B4))</f>
        <v>1h5min</v>
      </c>
      <c r="D4" s="166" t="s">
        <v>75</v>
      </c>
      <c r="E4" s="227"/>
      <c r="F4" s="228"/>
      <c r="G4" s="51"/>
    </row>
    <row r="5" spans="1:7" s="52" customFormat="1" x14ac:dyDescent="0.3">
      <c r="A5" s="53" t="s">
        <v>57</v>
      </c>
      <c r="B5" s="54">
        <v>3</v>
      </c>
      <c r="C5" s="154" t="str">
        <f t="shared" ref="C5:C11" si="0" xml:space="preserve"> IF(B5="","",setValueToTime(B5))</f>
        <v>0h15min</v>
      </c>
      <c r="D5" s="173" t="s">
        <v>76</v>
      </c>
      <c r="E5" s="219"/>
      <c r="F5" s="220"/>
      <c r="G5" s="51"/>
    </row>
    <row r="6" spans="1:7" s="52" customFormat="1" x14ac:dyDescent="0.3">
      <c r="A6" s="53" t="s">
        <v>57</v>
      </c>
      <c r="B6" s="54">
        <v>11</v>
      </c>
      <c r="C6" s="154" t="str">
        <f t="shared" si="0"/>
        <v>0h55min</v>
      </c>
      <c r="D6" s="173" t="s">
        <v>77</v>
      </c>
      <c r="E6" s="219"/>
      <c r="F6" s="220"/>
      <c r="G6" s="51"/>
    </row>
    <row r="7" spans="1:7" s="52" customFormat="1" x14ac:dyDescent="0.3">
      <c r="A7" s="53" t="s">
        <v>57</v>
      </c>
      <c r="B7" s="54">
        <v>4</v>
      </c>
      <c r="C7" s="154" t="str">
        <f t="shared" si="0"/>
        <v>0h20min</v>
      </c>
      <c r="D7" s="173" t="s">
        <v>78</v>
      </c>
      <c r="E7" s="219"/>
      <c r="F7" s="220"/>
      <c r="G7" s="51"/>
    </row>
    <row r="8" spans="1:7" s="52" customFormat="1" x14ac:dyDescent="0.3">
      <c r="A8" s="54" t="s">
        <v>57</v>
      </c>
      <c r="B8" s="54">
        <v>2</v>
      </c>
      <c r="C8" s="155" t="str">
        <f t="shared" si="0"/>
        <v>0h10min</v>
      </c>
      <c r="D8" s="173" t="s">
        <v>79</v>
      </c>
      <c r="E8" s="219"/>
      <c r="F8" s="220"/>
      <c r="G8" s="51"/>
    </row>
    <row r="9" spans="1:7" s="52" customFormat="1" x14ac:dyDescent="0.3">
      <c r="A9" s="54" t="s">
        <v>57</v>
      </c>
      <c r="B9" s="54">
        <v>2</v>
      </c>
      <c r="C9" s="155" t="str">
        <f t="shared" si="0"/>
        <v>0h10min</v>
      </c>
      <c r="D9" s="173" t="s">
        <v>80</v>
      </c>
      <c r="E9" s="219"/>
      <c r="F9" s="220"/>
      <c r="G9" s="51"/>
    </row>
    <row r="10" spans="1:7" s="52" customFormat="1" x14ac:dyDescent="0.3">
      <c r="A10" s="54"/>
      <c r="B10" s="54"/>
      <c r="C10" s="155" t="str">
        <f t="shared" si="0"/>
        <v/>
      </c>
      <c r="D10" s="55"/>
      <c r="E10" s="219"/>
      <c r="F10" s="220"/>
      <c r="G10" s="51"/>
    </row>
    <row r="11" spans="1:7" s="52" customFormat="1" ht="15" thickBot="1" x14ac:dyDescent="0.35">
      <c r="A11" s="56"/>
      <c r="B11" s="56"/>
      <c r="C11" s="156" t="str">
        <f t="shared" si="0"/>
        <v/>
      </c>
      <c r="D11" s="57"/>
      <c r="E11" s="221"/>
      <c r="F11" s="222"/>
      <c r="G11" s="51"/>
    </row>
    <row r="12" spans="1:7" s="52" customFormat="1" ht="15" thickBot="1" x14ac:dyDescent="0.35">
      <c r="A12" s="163" t="s">
        <v>28</v>
      </c>
      <c r="B12" s="83">
        <f>SUM(B4:B11)</f>
        <v>35</v>
      </c>
      <c r="C12" s="163" t="str">
        <f xml:space="preserve"> setValueToTime(B12)</f>
        <v>2h55min</v>
      </c>
      <c r="D12" s="121"/>
      <c r="E12" s="223"/>
      <c r="F12" s="224"/>
      <c r="G12" s="51"/>
    </row>
    <row r="13" spans="1:7" s="59" customFormat="1" ht="15" thickBot="1" x14ac:dyDescent="0.35">
      <c r="A13" s="77"/>
      <c r="B13" s="77"/>
      <c r="C13" s="77"/>
      <c r="D13" s="77"/>
      <c r="E13" s="77"/>
      <c r="F13" s="77"/>
      <c r="G13" s="58"/>
    </row>
    <row r="14" spans="1:7" s="47" customFormat="1" ht="30" customHeight="1" thickBot="1" x14ac:dyDescent="0.3">
      <c r="A14" s="157" t="s">
        <v>11</v>
      </c>
      <c r="B14" s="165">
        <v>5</v>
      </c>
      <c r="C14" s="165"/>
      <c r="D14" s="158" t="s">
        <v>14</v>
      </c>
      <c r="E14" s="159">
        <v>45265</v>
      </c>
      <c r="F14" s="176"/>
      <c r="G14" s="46"/>
    </row>
    <row r="15" spans="1:7" s="47" customFormat="1" ht="30" customHeight="1" thickBot="1" x14ac:dyDescent="0.3">
      <c r="A15" s="78" t="s">
        <v>5</v>
      </c>
      <c r="B15" s="162" t="s">
        <v>41</v>
      </c>
      <c r="C15" s="161"/>
      <c r="D15" s="78" t="s">
        <v>12</v>
      </c>
      <c r="E15" s="225" t="s">
        <v>13</v>
      </c>
      <c r="F15" s="226"/>
      <c r="G15" s="46"/>
    </row>
    <row r="16" spans="1:7" s="52" customFormat="1" ht="27" x14ac:dyDescent="0.3">
      <c r="A16" s="48" t="s">
        <v>57</v>
      </c>
      <c r="B16" s="49">
        <v>16</v>
      </c>
      <c r="C16" s="153" t="str">
        <f xml:space="preserve"> IF(B16="","",setValueToTime(B16))</f>
        <v>1h20min</v>
      </c>
      <c r="D16" s="166" t="s">
        <v>69</v>
      </c>
      <c r="E16" s="227"/>
      <c r="F16" s="228"/>
      <c r="G16" s="51"/>
    </row>
    <row r="17" spans="1:7" s="52" customFormat="1" x14ac:dyDescent="0.3">
      <c r="A17" s="53" t="s">
        <v>57</v>
      </c>
      <c r="B17" s="54">
        <v>2</v>
      </c>
      <c r="C17" s="154" t="str">
        <f t="shared" ref="C17:C23" si="1" xml:space="preserve"> IF(B17="","",setValueToTime(B17))</f>
        <v>0h10min</v>
      </c>
      <c r="D17" s="173" t="s">
        <v>70</v>
      </c>
      <c r="E17" s="219"/>
      <c r="F17" s="220"/>
      <c r="G17" s="51"/>
    </row>
    <row r="18" spans="1:7" s="52" customFormat="1" x14ac:dyDescent="0.3">
      <c r="A18" s="53" t="s">
        <v>57</v>
      </c>
      <c r="B18" s="54">
        <v>6</v>
      </c>
      <c r="C18" s="154" t="str">
        <f t="shared" si="1"/>
        <v>0h30min</v>
      </c>
      <c r="D18" s="173" t="s">
        <v>71</v>
      </c>
      <c r="E18" s="219"/>
      <c r="F18" s="220"/>
      <c r="G18" s="51"/>
    </row>
    <row r="19" spans="1:7" s="52" customFormat="1" ht="27" x14ac:dyDescent="0.3">
      <c r="A19" s="53" t="s">
        <v>50</v>
      </c>
      <c r="B19" s="54">
        <v>12</v>
      </c>
      <c r="C19" s="154" t="str">
        <f t="shared" si="1"/>
        <v>1h</v>
      </c>
      <c r="D19" s="173" t="s">
        <v>72</v>
      </c>
      <c r="E19" s="219"/>
      <c r="F19" s="220"/>
      <c r="G19" s="51"/>
    </row>
    <row r="20" spans="1:7" s="52" customFormat="1" ht="27" x14ac:dyDescent="0.3">
      <c r="A20" s="54" t="s">
        <v>57</v>
      </c>
      <c r="B20" s="54">
        <v>5</v>
      </c>
      <c r="C20" s="155" t="str">
        <f t="shared" si="1"/>
        <v>0h25min</v>
      </c>
      <c r="D20" s="173" t="s">
        <v>73</v>
      </c>
      <c r="E20" s="219"/>
      <c r="F20" s="220"/>
      <c r="G20" s="51"/>
    </row>
    <row r="21" spans="1:7" s="52" customFormat="1" x14ac:dyDescent="0.3">
      <c r="A21" s="54" t="s">
        <v>57</v>
      </c>
      <c r="B21" s="54">
        <v>6</v>
      </c>
      <c r="C21" s="155" t="str">
        <f t="shared" si="1"/>
        <v>0h30min</v>
      </c>
      <c r="D21" s="173" t="s">
        <v>74</v>
      </c>
      <c r="E21" s="219"/>
      <c r="F21" s="220"/>
      <c r="G21" s="51"/>
    </row>
    <row r="22" spans="1:7" s="52" customFormat="1" x14ac:dyDescent="0.3">
      <c r="A22" s="54"/>
      <c r="B22" s="54"/>
      <c r="C22" s="155" t="str">
        <f t="shared" si="1"/>
        <v/>
      </c>
      <c r="D22" s="55"/>
      <c r="E22" s="219"/>
      <c r="F22" s="220"/>
      <c r="G22" s="51"/>
    </row>
    <row r="23" spans="1:7" s="52" customFormat="1" ht="15" thickBot="1" x14ac:dyDescent="0.35">
      <c r="A23" s="56"/>
      <c r="B23" s="56"/>
      <c r="C23" s="156" t="str">
        <f t="shared" si="1"/>
        <v/>
      </c>
      <c r="D23" s="57"/>
      <c r="E23" s="221"/>
      <c r="F23" s="222"/>
      <c r="G23" s="51"/>
    </row>
    <row r="24" spans="1:7" s="52" customFormat="1" ht="15" thickBot="1" x14ac:dyDescent="0.35">
      <c r="A24" s="163" t="s">
        <v>28</v>
      </c>
      <c r="B24" s="83">
        <f>SUM(B16:B23)</f>
        <v>47</v>
      </c>
      <c r="C24" s="163" t="str">
        <f xml:space="preserve"> setValueToTime(B24)</f>
        <v>3h55min</v>
      </c>
      <c r="D24" s="121"/>
      <c r="E24" s="223"/>
      <c r="F24" s="224"/>
      <c r="G24" s="51"/>
    </row>
    <row r="25" spans="1:7" s="59" customFormat="1" ht="15" thickBot="1" x14ac:dyDescent="0.35">
      <c r="A25" s="77"/>
      <c r="B25" s="77"/>
      <c r="C25" s="77"/>
      <c r="D25" s="77"/>
      <c r="E25" s="77"/>
      <c r="F25" s="77"/>
      <c r="G25" s="58"/>
    </row>
    <row r="26" spans="1:7" s="47" customFormat="1" ht="30" customHeight="1" thickBot="1" x14ac:dyDescent="0.3">
      <c r="A26" s="157" t="s">
        <v>11</v>
      </c>
      <c r="B26" s="165">
        <v>4</v>
      </c>
      <c r="C26" s="165"/>
      <c r="D26" s="158" t="s">
        <v>14</v>
      </c>
      <c r="E26" s="159">
        <v>45258</v>
      </c>
      <c r="F26" s="175"/>
      <c r="G26" s="46"/>
    </row>
    <row r="27" spans="1:7" s="47" customFormat="1" ht="30" customHeight="1" thickBot="1" x14ac:dyDescent="0.3">
      <c r="A27" s="78" t="s">
        <v>5</v>
      </c>
      <c r="B27" s="162" t="s">
        <v>41</v>
      </c>
      <c r="C27" s="161"/>
      <c r="D27" s="78" t="s">
        <v>12</v>
      </c>
      <c r="E27" s="225" t="s">
        <v>13</v>
      </c>
      <c r="F27" s="226"/>
      <c r="G27" s="46"/>
    </row>
    <row r="28" spans="1:7" s="52" customFormat="1" x14ac:dyDescent="0.3">
      <c r="A28" s="48" t="s">
        <v>57</v>
      </c>
      <c r="B28" s="49">
        <v>2</v>
      </c>
      <c r="C28" s="153" t="str">
        <f xml:space="preserve"> IF(B28="","",setValueToTime(B28))</f>
        <v>0h10min</v>
      </c>
      <c r="D28" s="166" t="s">
        <v>64</v>
      </c>
      <c r="E28" s="227"/>
      <c r="F28" s="228"/>
      <c r="G28" s="51"/>
    </row>
    <row r="29" spans="1:7" s="52" customFormat="1" ht="54" x14ac:dyDescent="0.3">
      <c r="A29" s="53" t="s">
        <v>57</v>
      </c>
      <c r="B29" s="54">
        <v>8</v>
      </c>
      <c r="C29" s="154" t="str">
        <f t="shared" ref="C29:C35" si="2" xml:space="preserve"> IF(B29="","",setValueToTime(B29))</f>
        <v>0h40min</v>
      </c>
      <c r="D29" s="173" t="s">
        <v>65</v>
      </c>
      <c r="E29" s="219"/>
      <c r="F29" s="220"/>
      <c r="G29" s="51"/>
    </row>
    <row r="30" spans="1:7" s="52" customFormat="1" x14ac:dyDescent="0.3">
      <c r="A30" s="53" t="s">
        <v>57</v>
      </c>
      <c r="B30" s="54">
        <v>13</v>
      </c>
      <c r="C30" s="154" t="str">
        <f t="shared" si="2"/>
        <v>1h5min</v>
      </c>
      <c r="D30" s="173" t="s">
        <v>66</v>
      </c>
      <c r="E30" s="219"/>
      <c r="F30" s="220"/>
      <c r="G30" s="51"/>
    </row>
    <row r="31" spans="1:7" s="52" customFormat="1" x14ac:dyDescent="0.3">
      <c r="A31" s="53" t="s">
        <v>57</v>
      </c>
      <c r="B31" s="54">
        <v>1</v>
      </c>
      <c r="C31" s="154" t="str">
        <f t="shared" si="2"/>
        <v>0h5min</v>
      </c>
      <c r="D31" s="173" t="s">
        <v>67</v>
      </c>
      <c r="E31" s="219"/>
      <c r="F31" s="220"/>
      <c r="G31" s="51"/>
    </row>
    <row r="32" spans="1:7" s="52" customFormat="1" x14ac:dyDescent="0.3">
      <c r="A32" s="54" t="s">
        <v>57</v>
      </c>
      <c r="B32" s="54">
        <v>11</v>
      </c>
      <c r="C32" s="155" t="str">
        <f t="shared" si="2"/>
        <v>0h55min</v>
      </c>
      <c r="D32" s="173" t="s">
        <v>68</v>
      </c>
      <c r="E32" s="219"/>
      <c r="F32" s="220"/>
      <c r="G32" s="51"/>
    </row>
    <row r="33" spans="1:7" s="52" customFormat="1" x14ac:dyDescent="0.3">
      <c r="A33" s="54"/>
      <c r="B33" s="54"/>
      <c r="C33" s="155" t="str">
        <f t="shared" si="2"/>
        <v/>
      </c>
      <c r="D33" s="55"/>
      <c r="E33" s="219"/>
      <c r="F33" s="220"/>
      <c r="G33" s="51"/>
    </row>
    <row r="34" spans="1:7" s="52" customFormat="1" x14ac:dyDescent="0.3">
      <c r="A34" s="54"/>
      <c r="B34" s="54"/>
      <c r="C34" s="155" t="str">
        <f t="shared" si="2"/>
        <v/>
      </c>
      <c r="D34" s="55"/>
      <c r="E34" s="219"/>
      <c r="F34" s="220"/>
      <c r="G34" s="51"/>
    </row>
    <row r="35" spans="1:7" s="52" customFormat="1" ht="15" thickBot="1" x14ac:dyDescent="0.35">
      <c r="A35" s="56"/>
      <c r="B35" s="56"/>
      <c r="C35" s="156" t="str">
        <f t="shared" si="2"/>
        <v/>
      </c>
      <c r="D35" s="57"/>
      <c r="E35" s="221"/>
      <c r="F35" s="222"/>
      <c r="G35" s="51"/>
    </row>
    <row r="36" spans="1:7" s="52" customFormat="1" ht="15" thickBot="1" x14ac:dyDescent="0.35">
      <c r="A36" s="163" t="s">
        <v>28</v>
      </c>
      <c r="B36" s="83">
        <f>SUM(B28:B35)</f>
        <v>35</v>
      </c>
      <c r="C36" s="163" t="str">
        <f xml:space="preserve"> setValueToTime(B36)</f>
        <v>2h55min</v>
      </c>
      <c r="D36" s="121"/>
      <c r="E36" s="223"/>
      <c r="F36" s="224"/>
      <c r="G36" s="51"/>
    </row>
    <row r="37" spans="1:7" s="59" customFormat="1" ht="15" thickBot="1" x14ac:dyDescent="0.35">
      <c r="A37" s="77"/>
      <c r="B37" s="77"/>
      <c r="C37" s="77"/>
      <c r="D37" s="77"/>
      <c r="E37" s="77"/>
      <c r="F37" s="77"/>
      <c r="G37" s="58"/>
    </row>
    <row r="38" spans="1:7" s="47" customFormat="1" ht="30" customHeight="1" thickBot="1" x14ac:dyDescent="0.3">
      <c r="A38" s="157" t="s">
        <v>11</v>
      </c>
      <c r="B38" s="165">
        <v>3</v>
      </c>
      <c r="C38" s="165"/>
      <c r="D38" s="158" t="s">
        <v>14</v>
      </c>
      <c r="E38" s="159">
        <v>45251</v>
      </c>
      <c r="F38" s="174"/>
      <c r="G38" s="46"/>
    </row>
    <row r="39" spans="1:7" s="47" customFormat="1" ht="30" customHeight="1" thickBot="1" x14ac:dyDescent="0.3">
      <c r="A39" s="78" t="s">
        <v>5</v>
      </c>
      <c r="B39" s="162" t="s">
        <v>41</v>
      </c>
      <c r="C39" s="161"/>
      <c r="D39" s="78" t="s">
        <v>12</v>
      </c>
      <c r="E39" s="225" t="s">
        <v>13</v>
      </c>
      <c r="F39" s="226"/>
      <c r="G39" s="46"/>
    </row>
    <row r="40" spans="1:7" s="52" customFormat="1" ht="27" x14ac:dyDescent="0.3">
      <c r="A40" s="48" t="s">
        <v>57</v>
      </c>
      <c r="B40" s="49">
        <v>10</v>
      </c>
      <c r="C40" s="153" t="str">
        <f xml:space="preserve"> IF(B40="","",setValueToTime(B40))</f>
        <v>0h50min</v>
      </c>
      <c r="D40" s="166" t="s">
        <v>63</v>
      </c>
      <c r="E40" s="227"/>
      <c r="F40" s="228"/>
      <c r="G40" s="51"/>
    </row>
    <row r="41" spans="1:7" s="52" customFormat="1" x14ac:dyDescent="0.3">
      <c r="A41" s="53" t="s">
        <v>57</v>
      </c>
      <c r="B41" s="54">
        <v>6</v>
      </c>
      <c r="C41" s="154" t="str">
        <f t="shared" ref="C41:C47" si="3" xml:space="preserve"> IF(B41="","",setValueToTime(B41))</f>
        <v>0h30min</v>
      </c>
      <c r="D41" s="173" t="s">
        <v>62</v>
      </c>
      <c r="E41" s="219"/>
      <c r="F41" s="220"/>
      <c r="G41" s="51"/>
    </row>
    <row r="42" spans="1:7" s="52" customFormat="1" x14ac:dyDescent="0.3">
      <c r="A42" s="53" t="s">
        <v>57</v>
      </c>
      <c r="B42" s="54">
        <v>36</v>
      </c>
      <c r="C42" s="154" t="str">
        <f t="shared" si="3"/>
        <v>3h</v>
      </c>
      <c r="D42" s="173" t="s">
        <v>61</v>
      </c>
      <c r="E42" s="219"/>
      <c r="F42" s="220"/>
      <c r="G42" s="51"/>
    </row>
    <row r="43" spans="1:7" s="52" customFormat="1" x14ac:dyDescent="0.3">
      <c r="A43" s="53"/>
      <c r="B43" s="54"/>
      <c r="C43" s="154" t="str">
        <f t="shared" si="3"/>
        <v/>
      </c>
      <c r="D43" s="55"/>
      <c r="E43" s="219"/>
      <c r="F43" s="220"/>
      <c r="G43" s="51"/>
    </row>
    <row r="44" spans="1:7" s="52" customFormat="1" x14ac:dyDescent="0.3">
      <c r="A44" s="54"/>
      <c r="B44" s="54"/>
      <c r="C44" s="155" t="str">
        <f t="shared" si="3"/>
        <v/>
      </c>
      <c r="D44" s="55"/>
      <c r="E44" s="219"/>
      <c r="F44" s="220"/>
      <c r="G44" s="51"/>
    </row>
    <row r="45" spans="1:7" s="52" customFormat="1" x14ac:dyDescent="0.3">
      <c r="A45" s="54"/>
      <c r="B45" s="54"/>
      <c r="C45" s="155" t="str">
        <f t="shared" si="3"/>
        <v/>
      </c>
      <c r="D45" s="55"/>
      <c r="E45" s="219"/>
      <c r="F45" s="220"/>
      <c r="G45" s="51"/>
    </row>
    <row r="46" spans="1:7" s="52" customFormat="1" x14ac:dyDescent="0.3">
      <c r="A46" s="54"/>
      <c r="B46" s="54"/>
      <c r="C46" s="155" t="str">
        <f t="shared" si="3"/>
        <v/>
      </c>
      <c r="D46" s="55"/>
      <c r="E46" s="219"/>
      <c r="F46" s="220"/>
      <c r="G46" s="51"/>
    </row>
    <row r="47" spans="1:7" s="52" customFormat="1" ht="15" thickBot="1" x14ac:dyDescent="0.35">
      <c r="A47" s="56"/>
      <c r="B47" s="56"/>
      <c r="C47" s="156" t="str">
        <f t="shared" si="3"/>
        <v/>
      </c>
      <c r="D47" s="57"/>
      <c r="E47" s="221"/>
      <c r="F47" s="222"/>
      <c r="G47" s="51"/>
    </row>
    <row r="48" spans="1:7" s="52" customFormat="1" ht="15" thickBot="1" x14ac:dyDescent="0.35">
      <c r="A48" s="163" t="s">
        <v>28</v>
      </c>
      <c r="B48" s="83">
        <f>SUM(B40:B47)</f>
        <v>52</v>
      </c>
      <c r="C48" s="163" t="str">
        <f xml:space="preserve"> setValueToTime(B48)</f>
        <v>4h20min</v>
      </c>
      <c r="D48" s="121"/>
      <c r="E48" s="223"/>
      <c r="F48" s="224"/>
      <c r="G48" s="51"/>
    </row>
    <row r="49" spans="1:7" s="59" customFormat="1" ht="15" thickBot="1" x14ac:dyDescent="0.35">
      <c r="A49" s="77"/>
      <c r="B49" s="77"/>
      <c r="C49" s="77"/>
      <c r="D49" s="77"/>
      <c r="E49" s="77"/>
      <c r="F49" s="77"/>
      <c r="G49" s="58"/>
    </row>
    <row r="50" spans="1:7" s="47" customFormat="1" ht="30" customHeight="1" thickBot="1" x14ac:dyDescent="0.3">
      <c r="A50" s="157" t="s">
        <v>11</v>
      </c>
      <c r="B50" s="165">
        <v>2</v>
      </c>
      <c r="C50" s="165"/>
      <c r="D50" s="158" t="s">
        <v>14</v>
      </c>
      <c r="E50" s="159">
        <v>45244</v>
      </c>
      <c r="F50" s="167"/>
      <c r="G50" s="46"/>
    </row>
    <row r="51" spans="1:7" s="47" customFormat="1" ht="30" customHeight="1" thickBot="1" x14ac:dyDescent="0.3">
      <c r="A51" s="78" t="s">
        <v>5</v>
      </c>
      <c r="B51" s="162" t="s">
        <v>41</v>
      </c>
      <c r="C51" s="161"/>
      <c r="D51" s="78" t="s">
        <v>12</v>
      </c>
      <c r="E51" s="225" t="s">
        <v>13</v>
      </c>
      <c r="F51" s="226"/>
      <c r="G51" s="46"/>
    </row>
    <row r="52" spans="1:7" s="52" customFormat="1" ht="27" x14ac:dyDescent="0.3">
      <c r="A52" s="48" t="s">
        <v>50</v>
      </c>
      <c r="B52" s="49">
        <v>6</v>
      </c>
      <c r="C52" s="153" t="str">
        <f xml:space="preserve"> IF(B52="","",setValueToTime(B52))</f>
        <v>0h30min</v>
      </c>
      <c r="D52" s="166" t="s">
        <v>56</v>
      </c>
      <c r="E52" s="232" t="s">
        <v>54</v>
      </c>
      <c r="F52" s="228"/>
      <c r="G52" s="51"/>
    </row>
    <row r="53" spans="1:7" s="52" customFormat="1" ht="40.5" x14ac:dyDescent="0.3">
      <c r="A53" s="53" t="s">
        <v>57</v>
      </c>
      <c r="B53" s="54">
        <v>3</v>
      </c>
      <c r="C53" s="154" t="str">
        <f t="shared" ref="C53:C59" si="4" xml:space="preserve"> IF(B53="","",setValueToTime(B53))</f>
        <v>0h15min</v>
      </c>
      <c r="D53" s="173" t="s">
        <v>58</v>
      </c>
      <c r="E53" s="219"/>
      <c r="F53" s="220"/>
      <c r="G53" s="51"/>
    </row>
    <row r="54" spans="1:7" s="52" customFormat="1" x14ac:dyDescent="0.3">
      <c r="A54" s="53" t="s">
        <v>15</v>
      </c>
      <c r="B54" s="54">
        <v>11</v>
      </c>
      <c r="C54" s="154" t="str">
        <f t="shared" si="4"/>
        <v>0h55min</v>
      </c>
      <c r="D54" s="173" t="s">
        <v>59</v>
      </c>
      <c r="E54" s="231" t="s">
        <v>54</v>
      </c>
      <c r="F54" s="220"/>
      <c r="G54" s="51"/>
    </row>
    <row r="55" spans="1:7" s="52" customFormat="1" x14ac:dyDescent="0.3">
      <c r="A55" s="53" t="s">
        <v>57</v>
      </c>
      <c r="B55" s="54">
        <v>29</v>
      </c>
      <c r="C55" s="154" t="str">
        <f t="shared" si="4"/>
        <v>2h25min</v>
      </c>
      <c r="D55" s="173" t="s">
        <v>60</v>
      </c>
      <c r="E55" s="219"/>
      <c r="F55" s="220"/>
      <c r="G55" s="51"/>
    </row>
    <row r="56" spans="1:7" s="52" customFormat="1" x14ac:dyDescent="0.3">
      <c r="A56" s="54"/>
      <c r="B56" s="54"/>
      <c r="C56" s="155" t="str">
        <f t="shared" si="4"/>
        <v/>
      </c>
      <c r="D56" s="55"/>
      <c r="E56" s="219"/>
      <c r="F56" s="220"/>
      <c r="G56" s="51"/>
    </row>
    <row r="57" spans="1:7" s="52" customFormat="1" x14ac:dyDescent="0.3">
      <c r="A57" s="54"/>
      <c r="B57" s="54"/>
      <c r="C57" s="155" t="str">
        <f t="shared" si="4"/>
        <v/>
      </c>
      <c r="D57" s="55"/>
      <c r="E57" s="219"/>
      <c r="F57" s="220"/>
      <c r="G57" s="51"/>
    </row>
    <row r="58" spans="1:7" s="52" customFormat="1" x14ac:dyDescent="0.3">
      <c r="A58" s="54"/>
      <c r="B58" s="54"/>
      <c r="C58" s="155" t="str">
        <f t="shared" si="4"/>
        <v/>
      </c>
      <c r="D58" s="55"/>
      <c r="E58" s="219"/>
      <c r="F58" s="220"/>
      <c r="G58" s="51"/>
    </row>
    <row r="59" spans="1:7" s="52" customFormat="1" ht="15" thickBot="1" x14ac:dyDescent="0.35">
      <c r="A59" s="56"/>
      <c r="B59" s="56"/>
      <c r="C59" s="156" t="str">
        <f t="shared" si="4"/>
        <v/>
      </c>
      <c r="D59" s="57"/>
      <c r="E59" s="221"/>
      <c r="F59" s="222"/>
      <c r="G59" s="51"/>
    </row>
    <row r="60" spans="1:7" s="52" customFormat="1" ht="15" thickBot="1" x14ac:dyDescent="0.35">
      <c r="A60" s="163" t="s">
        <v>28</v>
      </c>
      <c r="B60" s="83">
        <f>SUM(B52:B59)</f>
        <v>49</v>
      </c>
      <c r="C60" s="163" t="str">
        <f xml:space="preserve"> setValueToTime(B60)</f>
        <v>4h5min</v>
      </c>
      <c r="D60" s="121"/>
      <c r="E60" s="223"/>
      <c r="F60" s="224"/>
      <c r="G60" s="51"/>
    </row>
    <row r="61" spans="1:7" s="59" customFormat="1" ht="15" thickBot="1" x14ac:dyDescent="0.35">
      <c r="A61" s="77"/>
      <c r="B61" s="77"/>
      <c r="C61" s="77"/>
      <c r="D61" s="77"/>
      <c r="E61" s="77"/>
      <c r="F61" s="77"/>
      <c r="G61" s="58"/>
    </row>
    <row r="62" spans="1:7" s="47" customFormat="1" ht="30" customHeight="1" thickBot="1" x14ac:dyDescent="0.3">
      <c r="A62" s="157" t="s">
        <v>11</v>
      </c>
      <c r="B62" s="165">
        <v>1</v>
      </c>
      <c r="C62" s="165"/>
      <c r="D62" s="158" t="s">
        <v>14</v>
      </c>
      <c r="E62" s="229">
        <v>45237</v>
      </c>
      <c r="F62" s="230"/>
      <c r="G62" s="46"/>
    </row>
    <row r="63" spans="1:7" s="47" customFormat="1" ht="30" customHeight="1" thickBot="1" x14ac:dyDescent="0.3">
      <c r="A63" s="78" t="s">
        <v>5</v>
      </c>
      <c r="B63" s="162" t="s">
        <v>41</v>
      </c>
      <c r="C63" s="161"/>
      <c r="D63" s="78" t="s">
        <v>12</v>
      </c>
      <c r="E63" s="225" t="s">
        <v>13</v>
      </c>
      <c r="F63" s="226"/>
      <c r="G63" s="46"/>
    </row>
    <row r="64" spans="1:7" s="52" customFormat="1" x14ac:dyDescent="0.3">
      <c r="A64" s="48" t="s">
        <v>49</v>
      </c>
      <c r="B64" s="49">
        <v>13</v>
      </c>
      <c r="C64" s="153" t="str">
        <f xml:space="preserve"> IF(B64="","",setValueToTime(B64))</f>
        <v>1h5min</v>
      </c>
      <c r="D64" s="166" t="s">
        <v>51</v>
      </c>
      <c r="E64" s="227"/>
      <c r="F64" s="228"/>
      <c r="G64" s="51"/>
    </row>
    <row r="65" spans="1:7" s="52" customFormat="1" ht="27" x14ac:dyDescent="0.3">
      <c r="A65" s="53" t="s">
        <v>15</v>
      </c>
      <c r="B65" s="54">
        <v>38</v>
      </c>
      <c r="C65" s="154" t="str">
        <f t="shared" ref="C65:C71" si="5" xml:space="preserve"> IF(B65="","",setValueToTime(B65))</f>
        <v>3h10min</v>
      </c>
      <c r="D65" s="173" t="s">
        <v>55</v>
      </c>
      <c r="E65" s="231" t="s">
        <v>54</v>
      </c>
      <c r="F65" s="220"/>
      <c r="G65" s="51"/>
    </row>
    <row r="66" spans="1:7" s="52" customFormat="1" x14ac:dyDescent="0.3">
      <c r="A66" s="53"/>
      <c r="B66" s="54"/>
      <c r="C66" s="154" t="str">
        <f t="shared" si="5"/>
        <v/>
      </c>
      <c r="D66" s="55"/>
      <c r="E66" s="219"/>
      <c r="F66" s="220"/>
      <c r="G66" s="51"/>
    </row>
    <row r="67" spans="1:7" s="52" customFormat="1" x14ac:dyDescent="0.3">
      <c r="A67" s="53"/>
      <c r="B67" s="54"/>
      <c r="C67" s="154" t="str">
        <f t="shared" si="5"/>
        <v/>
      </c>
      <c r="D67" s="55"/>
      <c r="E67" s="219"/>
      <c r="F67" s="220"/>
      <c r="G67" s="51"/>
    </row>
    <row r="68" spans="1:7" s="52" customFormat="1" x14ac:dyDescent="0.3">
      <c r="A68" s="54"/>
      <c r="B68" s="54"/>
      <c r="C68" s="155" t="str">
        <f t="shared" si="5"/>
        <v/>
      </c>
      <c r="D68" s="55"/>
      <c r="E68" s="219"/>
      <c r="F68" s="220"/>
      <c r="G68" s="51"/>
    </row>
    <row r="69" spans="1:7" s="52" customFormat="1" x14ac:dyDescent="0.3">
      <c r="A69" s="54"/>
      <c r="B69" s="54"/>
      <c r="C69" s="155" t="str">
        <f t="shared" si="5"/>
        <v/>
      </c>
      <c r="D69" s="55"/>
      <c r="E69" s="219"/>
      <c r="F69" s="220"/>
      <c r="G69" s="51"/>
    </row>
    <row r="70" spans="1:7" s="52" customFormat="1" x14ac:dyDescent="0.3">
      <c r="A70" s="54"/>
      <c r="B70" s="54"/>
      <c r="C70" s="155" t="str">
        <f t="shared" si="5"/>
        <v/>
      </c>
      <c r="D70" s="55"/>
      <c r="E70" s="219"/>
      <c r="F70" s="220"/>
      <c r="G70" s="51"/>
    </row>
    <row r="71" spans="1:7" s="52" customFormat="1" ht="15" thickBot="1" x14ac:dyDescent="0.35">
      <c r="A71" s="56"/>
      <c r="B71" s="56"/>
      <c r="C71" s="156" t="str">
        <f t="shared" si="5"/>
        <v/>
      </c>
      <c r="D71" s="57"/>
      <c r="E71" s="221"/>
      <c r="F71" s="222"/>
      <c r="G71" s="51"/>
    </row>
    <row r="72" spans="1:7" s="52" customFormat="1" ht="15" thickBot="1" x14ac:dyDescent="0.35">
      <c r="A72" s="163" t="s">
        <v>28</v>
      </c>
      <c r="B72" s="83">
        <f>SUM(B64:B71)</f>
        <v>51</v>
      </c>
      <c r="C72" s="163" t="str">
        <f xml:space="preserve"> setValueToTime(B72)</f>
        <v>4h15min</v>
      </c>
      <c r="D72" s="121"/>
      <c r="E72" s="223"/>
      <c r="F72" s="224"/>
      <c r="G72" s="51"/>
    </row>
    <row r="73" spans="1:7" s="59" customFormat="1" x14ac:dyDescent="0.3">
      <c r="A73" s="77"/>
      <c r="B73" s="77"/>
      <c r="C73" s="77"/>
      <c r="D73" s="77"/>
      <c r="E73" s="77"/>
      <c r="F73" s="77"/>
      <c r="G73" s="58"/>
    </row>
  </sheetData>
  <sheetProtection formatRows="0" insertRows="0" insertHyperlinks="0" deleteRows="0" selectLockedCells="1"/>
  <mergeCells count="61">
    <mergeCell ref="E8:F8"/>
    <mergeCell ref="E9:F9"/>
    <mergeCell ref="E10:F10"/>
    <mergeCell ref="E11:F11"/>
    <mergeCell ref="E12:F12"/>
    <mergeCell ref="E3:F3"/>
    <mergeCell ref="E4:F4"/>
    <mergeCell ref="E5:F5"/>
    <mergeCell ref="E6:F6"/>
    <mergeCell ref="E7:F7"/>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9:F69"/>
    <mergeCell ref="E70:F70"/>
    <mergeCell ref="E71:F71"/>
    <mergeCell ref="E72:F72"/>
    <mergeCell ref="E62:F62"/>
    <mergeCell ref="E63:F63"/>
    <mergeCell ref="E64:F64"/>
    <mergeCell ref="E65:F65"/>
    <mergeCell ref="E66:F66"/>
    <mergeCell ref="E67:F67"/>
    <mergeCell ref="E68:F68"/>
    <mergeCell ref="E15:F15"/>
    <mergeCell ref="E16:F16"/>
    <mergeCell ref="E17:F17"/>
    <mergeCell ref="E18:F18"/>
    <mergeCell ref="E19:F19"/>
    <mergeCell ref="E20:F20"/>
    <mergeCell ref="E21:F21"/>
    <mergeCell ref="E22:F22"/>
    <mergeCell ref="E23:F23"/>
    <mergeCell ref="E24:F24"/>
  </mergeCells>
  <phoneticPr fontId="0" type="noConversion"/>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72 B60 B48 B36 B24 B12">
      <formula1>0</formula1>
      <formula2>60</formula2>
    </dataValidation>
    <dataValidation type="list" allowBlank="1" showInputMessage="1" showErrorMessage="1" sqref="A64:A71 A52:A59 A40:A47 A28:A35 A16:A23 A4:A11">
      <formula1>ListeTaches</formula1>
    </dataValidation>
  </dataValidations>
  <hyperlinks>
    <hyperlink ref="E65" r:id="rId1"/>
    <hyperlink ref="E52" r:id="rId2"/>
    <hyperlink ref="E54" r:id="rId3"/>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8"/>
      <c r="B10" s="198"/>
      <c r="C10" s="198"/>
      <c r="D10" s="198"/>
      <c r="E10" s="198"/>
      <c r="F10" s="198"/>
      <c r="G10" s="198"/>
      <c r="H10" s="198"/>
      <c r="I10" s="198"/>
      <c r="J10" s="198"/>
      <c r="K10" s="198"/>
      <c r="L10" s="198"/>
      <c r="M10" s="198"/>
      <c r="N10" s="198"/>
      <c r="O10" s="198"/>
      <c r="P10" s="198"/>
      <c r="Q10" s="198"/>
      <c r="R10" s="198"/>
      <c r="S10" s="198"/>
      <c r="T10" s="198"/>
      <c r="U10" s="198"/>
      <c r="V10" s="198"/>
      <c r="W10" s="198"/>
      <c r="X10" s="198"/>
      <c r="Y10" s="198"/>
      <c r="Z10" s="198"/>
      <c r="AA10" s="198"/>
      <c r="AB10" s="198"/>
      <c r="AC10" s="198"/>
      <c r="AD10" s="198"/>
      <c r="AE10" s="198"/>
      <c r="AF10" s="198"/>
      <c r="AG10" s="198"/>
      <c r="AH10" s="198"/>
      <c r="AI10" s="198"/>
      <c r="AJ10" s="198"/>
      <c r="AK10" s="198"/>
      <c r="AL10" s="198"/>
      <c r="AM10" s="198"/>
      <c r="AN10" s="198"/>
      <c r="AO10" s="198"/>
      <c r="AP10" s="198"/>
      <c r="AQ10" s="198"/>
      <c r="AR10" s="198"/>
      <c r="AS10" s="198"/>
      <c r="AT10" s="198"/>
      <c r="AU10" s="198"/>
      <c r="AV10" s="198"/>
      <c r="AW10" s="198"/>
      <c r="AX10" s="198"/>
      <c r="AY10" s="198"/>
      <c r="AZ10" s="198"/>
      <c r="BA10" s="198"/>
      <c r="BB10" s="198"/>
      <c r="BC10" s="198"/>
      <c r="BD10" s="198"/>
      <c r="BE10" s="198"/>
      <c r="BF10" s="198"/>
      <c r="BG10" s="198"/>
      <c r="BH10" s="198"/>
      <c r="BI10" s="90"/>
    </row>
    <row r="11" spans="1:61" ht="18" x14ac:dyDescent="0.25">
      <c r="A11" s="217"/>
      <c r="B11" s="217"/>
      <c r="C11" s="217"/>
      <c r="D11" s="217"/>
      <c r="E11" s="217"/>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c r="AS11" s="217"/>
      <c r="AT11" s="217"/>
      <c r="AU11" s="217"/>
      <c r="AV11" s="217"/>
      <c r="AW11" s="217"/>
      <c r="AX11" s="217"/>
      <c r="AY11" s="217"/>
      <c r="AZ11" s="217"/>
      <c r="BA11" s="217"/>
      <c r="BB11" s="217"/>
      <c r="BC11" s="217"/>
      <c r="BD11" s="217"/>
      <c r="BE11" s="217"/>
      <c r="BF11" s="217"/>
      <c r="BG11" s="217"/>
      <c r="BH11" s="217"/>
      <c r="BI11" s="90"/>
    </row>
    <row r="12" spans="1:61" ht="18.75" thickBot="1" x14ac:dyDescent="0.3">
      <c r="A12" s="218"/>
      <c r="B12" s="218"/>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90"/>
    </row>
    <row r="13" spans="1:61" ht="18.75" thickBot="1" x14ac:dyDescent="0.3">
      <c r="A13" s="214" t="s">
        <v>11</v>
      </c>
      <c r="B13" s="215"/>
      <c r="C13" s="215"/>
      <c r="D13" s="215"/>
      <c r="E13" s="215"/>
      <c r="F13" s="215"/>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6"/>
      <c r="BI13" s="90"/>
    </row>
    <row r="14" spans="1:61" ht="15.75" thickBot="1" x14ac:dyDescent="0.35">
      <c r="A14" s="103"/>
      <c r="B14" s="104"/>
      <c r="C14" s="104"/>
      <c r="D14" s="104"/>
      <c r="E14" s="200" t="s">
        <v>35</v>
      </c>
      <c r="F14" s="200"/>
      <c r="G14" s="200"/>
      <c r="H14" s="200"/>
      <c r="I14" s="104"/>
      <c r="J14" s="104"/>
      <c r="K14" s="201" t="s">
        <v>23</v>
      </c>
      <c r="L14" s="201"/>
      <c r="M14" s="201"/>
      <c r="N14" s="201"/>
      <c r="O14" s="129"/>
      <c r="P14" s="129"/>
      <c r="Q14" s="200" t="s">
        <v>36</v>
      </c>
      <c r="R14" s="200"/>
      <c r="S14" s="200"/>
      <c r="T14" s="200"/>
      <c r="U14" s="104"/>
      <c r="V14" s="104"/>
      <c r="W14" s="201" t="s">
        <v>24</v>
      </c>
      <c r="X14" s="201"/>
      <c r="Y14" s="201"/>
      <c r="Z14" s="201"/>
      <c r="AA14" s="129"/>
      <c r="AB14" s="129"/>
      <c r="AC14" s="200" t="s">
        <v>37</v>
      </c>
      <c r="AD14" s="200"/>
      <c r="AE14" s="200"/>
      <c r="AF14" s="200"/>
      <c r="AG14" s="104"/>
      <c r="AH14" s="104"/>
      <c r="AI14" s="201" t="s">
        <v>25</v>
      </c>
      <c r="AJ14" s="201"/>
      <c r="AK14" s="201"/>
      <c r="AL14" s="201"/>
      <c r="AM14" s="129"/>
      <c r="AN14" s="129"/>
      <c r="AO14" s="200" t="s">
        <v>38</v>
      </c>
      <c r="AP14" s="200"/>
      <c r="AQ14" s="200"/>
      <c r="AR14" s="200"/>
      <c r="AS14" s="104"/>
      <c r="AT14" s="104"/>
      <c r="AU14" s="201" t="s">
        <v>26</v>
      </c>
      <c r="AV14" s="201"/>
      <c r="AW14" s="201"/>
      <c r="AX14" s="201"/>
      <c r="AY14" s="129"/>
      <c r="AZ14" s="129"/>
      <c r="BA14" s="200" t="s">
        <v>39</v>
      </c>
      <c r="BB14" s="200"/>
      <c r="BC14" s="200"/>
      <c r="BD14" s="20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41</v>
      </c>
      <c r="C2" s="152"/>
      <c r="D2" s="80" t="s">
        <v>12</v>
      </c>
      <c r="E2" s="233" t="s">
        <v>13</v>
      </c>
      <c r="F2" s="234"/>
      <c r="G2" s="46"/>
    </row>
    <row r="3" spans="1:7" s="52" customFormat="1" x14ac:dyDescent="0.3">
      <c r="A3" s="48"/>
      <c r="B3" s="49"/>
      <c r="C3" s="153" t="str">
        <f xml:space="preserve"> IF(B3="","",setValueToTime(B3))</f>
        <v/>
      </c>
      <c r="D3" s="50"/>
      <c r="E3" s="227"/>
      <c r="F3" s="228"/>
      <c r="G3" s="51"/>
    </row>
    <row r="4" spans="1:7" s="52" customFormat="1" x14ac:dyDescent="0.3">
      <c r="A4" s="53"/>
      <c r="B4" s="54"/>
      <c r="C4" s="154" t="str">
        <f t="shared" ref="C4:C10" si="0" xml:space="preserve"> IF(B4="","",setValueToTime(B4))</f>
        <v/>
      </c>
      <c r="D4" s="55"/>
      <c r="E4" s="219"/>
      <c r="F4" s="220"/>
      <c r="G4" s="51"/>
    </row>
    <row r="5" spans="1:7" s="52" customFormat="1" x14ac:dyDescent="0.3">
      <c r="A5" s="53"/>
      <c r="B5" s="54"/>
      <c r="C5" s="154" t="str">
        <f t="shared" si="0"/>
        <v/>
      </c>
      <c r="D5" s="55"/>
      <c r="E5" s="219"/>
      <c r="F5" s="220"/>
      <c r="G5" s="51"/>
    </row>
    <row r="6" spans="1:7" s="52" customFormat="1" x14ac:dyDescent="0.3">
      <c r="A6" s="53"/>
      <c r="B6" s="54"/>
      <c r="C6" s="154" t="str">
        <f t="shared" si="0"/>
        <v/>
      </c>
      <c r="D6" s="55"/>
      <c r="E6" s="219"/>
      <c r="F6" s="220"/>
      <c r="G6" s="51"/>
    </row>
    <row r="7" spans="1:7" s="52" customFormat="1" x14ac:dyDescent="0.3">
      <c r="A7" s="54"/>
      <c r="B7" s="54"/>
      <c r="C7" s="155" t="str">
        <f t="shared" si="0"/>
        <v/>
      </c>
      <c r="D7" s="55"/>
      <c r="E7" s="219"/>
      <c r="F7" s="220"/>
      <c r="G7" s="51"/>
    </row>
    <row r="8" spans="1:7" s="52" customFormat="1" x14ac:dyDescent="0.3">
      <c r="A8" s="54"/>
      <c r="B8" s="54"/>
      <c r="C8" s="155" t="str">
        <f t="shared" si="0"/>
        <v/>
      </c>
      <c r="D8" s="55"/>
      <c r="E8" s="219"/>
      <c r="F8" s="220"/>
      <c r="G8" s="51"/>
    </row>
    <row r="9" spans="1:7" s="52" customFormat="1" x14ac:dyDescent="0.3">
      <c r="A9" s="54"/>
      <c r="B9" s="54"/>
      <c r="C9" s="155" t="str">
        <f t="shared" si="0"/>
        <v/>
      </c>
      <c r="D9" s="55"/>
      <c r="E9" s="219"/>
      <c r="F9" s="220"/>
      <c r="G9" s="51"/>
    </row>
    <row r="10" spans="1:7" s="52" customFormat="1" ht="15" thickBot="1" x14ac:dyDescent="0.35">
      <c r="A10" s="56"/>
      <c r="B10" s="56"/>
      <c r="C10" s="156" t="str">
        <f t="shared" si="0"/>
        <v/>
      </c>
      <c r="D10" s="57"/>
      <c r="E10" s="221"/>
      <c r="F10" s="222"/>
      <c r="G10" s="51"/>
    </row>
    <row r="11" spans="1:7" s="52" customFormat="1" ht="15" thickBot="1" x14ac:dyDescent="0.35">
      <c r="A11" s="111" t="s">
        <v>28</v>
      </c>
      <c r="B11" s="84">
        <f>SUM(B3:B10)</f>
        <v>0</v>
      </c>
      <c r="C11" s="111" t="str">
        <f xml:space="preserve"> setValueToTime(B11)</f>
        <v>0h</v>
      </c>
      <c r="D11" s="120"/>
      <c r="E11" s="235"/>
      <c r="F11" s="23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41</v>
      </c>
      <c r="C2" s="161"/>
      <c r="D2" s="78" t="s">
        <v>12</v>
      </c>
      <c r="E2" s="225" t="s">
        <v>13</v>
      </c>
      <c r="F2" s="226"/>
      <c r="G2" s="46"/>
    </row>
    <row r="3" spans="1:7" s="52" customFormat="1" x14ac:dyDescent="0.3">
      <c r="A3" s="48"/>
      <c r="B3" s="49"/>
      <c r="C3" s="153" t="str">
        <f xml:space="preserve"> IF(B3="","",setValueToTime(B3))</f>
        <v/>
      </c>
      <c r="D3" s="50"/>
      <c r="E3" s="227"/>
      <c r="F3" s="228"/>
      <c r="G3" s="51"/>
    </row>
    <row r="4" spans="1:7" s="52" customFormat="1" x14ac:dyDescent="0.3">
      <c r="A4" s="53"/>
      <c r="B4" s="54"/>
      <c r="C4" s="154" t="str">
        <f t="shared" ref="C4:C10" si="0" xml:space="preserve"> IF(B4="","",setValueToTime(B4))</f>
        <v/>
      </c>
      <c r="D4" s="55"/>
      <c r="E4" s="219"/>
      <c r="F4" s="220"/>
      <c r="G4" s="51"/>
    </row>
    <row r="5" spans="1:7" s="52" customFormat="1" x14ac:dyDescent="0.3">
      <c r="A5" s="53"/>
      <c r="B5" s="54"/>
      <c r="C5" s="154" t="str">
        <f t="shared" si="0"/>
        <v/>
      </c>
      <c r="D5" s="55"/>
      <c r="E5" s="219"/>
      <c r="F5" s="220"/>
      <c r="G5" s="51"/>
    </row>
    <row r="6" spans="1:7" s="52" customFormat="1" x14ac:dyDescent="0.3">
      <c r="A6" s="53"/>
      <c r="B6" s="54"/>
      <c r="C6" s="154" t="str">
        <f t="shared" si="0"/>
        <v/>
      </c>
      <c r="D6" s="55"/>
      <c r="E6" s="219"/>
      <c r="F6" s="220"/>
      <c r="G6" s="51"/>
    </row>
    <row r="7" spans="1:7" s="52" customFormat="1" x14ac:dyDescent="0.3">
      <c r="A7" s="54"/>
      <c r="B7" s="54"/>
      <c r="C7" s="155" t="str">
        <f t="shared" si="0"/>
        <v/>
      </c>
      <c r="D7" s="55"/>
      <c r="E7" s="219"/>
      <c r="F7" s="220"/>
      <c r="G7" s="51"/>
    </row>
    <row r="8" spans="1:7" s="52" customFormat="1" x14ac:dyDescent="0.3">
      <c r="A8" s="54"/>
      <c r="B8" s="54"/>
      <c r="C8" s="155" t="str">
        <f t="shared" si="0"/>
        <v/>
      </c>
      <c r="D8" s="55"/>
      <c r="E8" s="219"/>
      <c r="F8" s="220"/>
      <c r="G8" s="51"/>
    </row>
    <row r="9" spans="1:7" s="52" customFormat="1" x14ac:dyDescent="0.3">
      <c r="A9" s="54"/>
      <c r="B9" s="54"/>
      <c r="C9" s="155" t="str">
        <f t="shared" si="0"/>
        <v/>
      </c>
      <c r="D9" s="55"/>
      <c r="E9" s="219"/>
      <c r="F9" s="220"/>
      <c r="G9" s="51"/>
    </row>
    <row r="10" spans="1:7" s="52" customFormat="1" ht="15" thickBot="1" x14ac:dyDescent="0.35">
      <c r="A10" s="56"/>
      <c r="B10" s="56"/>
      <c r="C10" s="156" t="str">
        <f t="shared" si="0"/>
        <v/>
      </c>
      <c r="D10" s="57"/>
      <c r="E10" s="221"/>
      <c r="F10" s="222"/>
      <c r="G10" s="51"/>
    </row>
    <row r="11" spans="1:7" s="52" customFormat="1" ht="15" thickBot="1" x14ac:dyDescent="0.35">
      <c r="A11" s="163" t="s">
        <v>28</v>
      </c>
      <c r="B11" s="83">
        <f>SUM(B3:B10)</f>
        <v>0</v>
      </c>
      <c r="C11" s="163" t="str">
        <f xml:space="preserve"> setValueToTime(B11)</f>
        <v>0h</v>
      </c>
      <c r="D11" s="121"/>
      <c r="E11" s="223"/>
      <c r="F11" s="22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9" ma:contentTypeDescription="Crée un document." ma:contentTypeScope="" ma:versionID="7ad1489195ccbc92ee1d6dc9b13e05f4">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fd5933068070cee7159d9e66e9b1105"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2.xml><?xml version="1.0" encoding="utf-8"?>
<ds:datastoreItem xmlns:ds="http://schemas.openxmlformats.org/officeDocument/2006/customXml" ds:itemID="{4876ACFE-60B2-43F5-AFB4-DFB3D6466C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3671ADF-5F05-4D46-9F13-47A79F05D39A}">
  <ds:schemaRefs>
    <ds:schemaRef ds:uri="http://purl.org/dc/elements/1.1/"/>
    <ds:schemaRef ds:uri="http://schemas.microsoft.com/office/2006/metadata/properties"/>
    <ds:schemaRef ds:uri="dfa80de1-e9bb-4cf2-893d-d06220b3971a"/>
    <ds:schemaRef ds:uri="98d92101-24da-4498-9971-a24673344bd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JoachimSiméonGabriel Berchel</dc:creator>
  <cp:lastModifiedBy>JoachimSiméonGabriel Berchel</cp:lastModifiedBy>
  <cp:lastPrinted>2019-05-08T10:31:53Z</cp:lastPrinted>
  <dcterms:created xsi:type="dcterms:W3CDTF">1996-10-21T11:03:58Z</dcterms:created>
  <dcterms:modified xsi:type="dcterms:W3CDTF">2023-12-12T15:05:37Z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