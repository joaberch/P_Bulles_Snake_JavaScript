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17" i="12"/>
  <c r="C16" i="12"/>
  <c r="C18" i="12"/>
  <c r="C19" i="12"/>
  <c r="C24" i="12"/>
  <c r="C20" i="12"/>
  <c r="B36" i="12" l="1"/>
  <c r="C35" i="12"/>
  <c r="C29" i="12"/>
  <c r="C28" i="12"/>
  <c r="C30" i="12"/>
  <c r="C31" i="12"/>
  <c r="C32" i="12"/>
  <c r="C33" i="12"/>
  <c r="C34" i="12"/>
  <c r="C36" i="12"/>
  <c r="B48" i="12" l="1"/>
  <c r="C47" i="12"/>
  <c r="C46" i="12"/>
  <c r="C40" i="12"/>
  <c r="C41" i="12"/>
  <c r="C42" i="12"/>
  <c r="C44" i="12"/>
  <c r="C43" i="12"/>
  <c r="C48" i="12"/>
  <c r="C45" i="12"/>
  <c r="B60" i="12" l="1"/>
  <c r="C59" i="12"/>
  <c r="C58" i="12"/>
  <c r="C57" i="12"/>
  <c r="C56" i="12"/>
  <c r="C55" i="12"/>
  <c r="C54" i="12"/>
  <c r="C53" i="12"/>
  <c r="C52" i="12"/>
  <c r="C60" i="12"/>
  <c r="B72" i="12" l="1"/>
  <c r="C71" i="12"/>
  <c r="C70" i="12"/>
  <c r="C69" i="12"/>
  <c r="C68" i="12"/>
  <c r="C67" i="12"/>
  <c r="C64" i="12"/>
  <c r="C66" i="12"/>
  <c r="C65" i="12"/>
  <c r="C72" i="12"/>
  <c r="B84" i="12" l="1"/>
  <c r="C83" i="12"/>
  <c r="C82" i="12"/>
  <c r="C81" i="12"/>
  <c r="C80" i="12"/>
  <c r="C78" i="12"/>
  <c r="C77" i="12"/>
  <c r="C76" i="12"/>
  <c r="C79" i="12"/>
  <c r="C84" i="12"/>
  <c r="B96" i="12" l="1"/>
  <c r="C95" i="12"/>
  <c r="C94" i="12"/>
  <c r="C93" i="12"/>
  <c r="C92" i="12"/>
  <c r="C91" i="12"/>
  <c r="C90" i="12"/>
  <c r="C89" i="12"/>
  <c r="C88" i="12"/>
  <c r="C96"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<sst xmlns="http://schemas.openxmlformats.org/spreadsheetml/2006/main" count="321" uniqueCount="91">
  <si>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</si>
  <si>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</si>
  <si>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</si>
  <si>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</si>
  <si>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</si>
  <si>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</si>
  <si>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</si>
  <si>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</si>
  <si>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</si>
  <si>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</si>
  <si>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</si>
  <si>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</si>
  <si>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</si>
  <si>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</si>
  <si>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</si>
  <si>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</si>
  <si>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</si>
  <si>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</si>
  <si>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</si>
  <si>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</si>
  <si>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</si>
  <si>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</si>
  <si>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</si>
  <si>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</si>
  <si>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</si>
  <si>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</si>
  <si>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</si>
  <si>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</si>
  <si>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</si>
  <si>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</si>
  <si>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</si>
  <si>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</si>
  <si>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</si>
  <si>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</si>
  <si>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</si>
  <si>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</si>
  <si>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</si>
  <si>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</si>
  <si>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</si>
  <si>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</si>
  <si>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</si>
  <si>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</si>
  <si>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</si>
  <si>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</si>
  <si>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</si>
  <si>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</si>
  <si>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</si>
  <si>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</si>
  <si>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</si>
  <si>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</si>
  <si>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</si>
  <si>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</si>
  <si>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</si>
  <si>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</si>
  <si>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</si>
  <si>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</si>
  <si>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</si>
  <si>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</si>
  <si>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</si>
  <si>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</si>
  <si>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</si>
  <si>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</si>
  <si>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</si>
  <si>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</si>
  <si>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</si>
  <si>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</si>
  <si>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</si>
  <si>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</si>
  <si>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</si>
  <si>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</si>
  <si>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</si>
  <si>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</si>
  <si>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</si>
  <si>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</si>
  <si>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</si>
  <si>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</si>
  <si>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</si>
  <si>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</si>
  <si>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</si>
  <si>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</si>
  <si>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</si>
  <si>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</si>
  <si>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</si>
  <si>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</si>
  <si>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</si>
  <si>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</si>
  <si>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</si>
  <si>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 j'augmente la quantité quand on clique sur le bouton + et je descends la quantité quand on appuie sur le bouton -. Afficher le total des prix.</t>
  </si>
  <si>
    <t>Écouter les consignes</t>
  </si>
  <si>
    <t>Se rappeler de ce que j'ai produis avant les vacances, chercher les TODO.</t>
  </si>
  <si>
    <t>Finir le site de macdo (il faut encore améliorer le code car n'est pas bon du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</si>
</sst>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2" t="s">
        <v>33</v>
      </c>
      <c r="C35" s="182"/>
      <c r="D35" s="182"/>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3" t="s">
        <v>34</v>
      </c>
      <c r="C37" s="183"/>
      <c r="D37" s="183"/>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4" t="s">
        <v>30</v>
      </c>
      <c r="D1" s="214"/>
      <c r="E1" s="21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5"/>
      <c r="D7" s="215"/>
      <c r="E7" s="21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0" t="str">
        <f>E96</f>
        <v>263h20min</v>
      </c>
      <c r="H9" s="210"/>
      <c r="I9" s="210"/>
      <c r="J9" s="210"/>
      <c r="K9" s="210"/>
      <c r="L9" s="210"/>
      <c r="M9" s="210"/>
      <c r="N9" s="210"/>
      <c r="O9" s="210"/>
      <c r="P9" s="210"/>
      <c r="Q9" s="210"/>
      <c r="R9" s="210"/>
      <c r="S9" s="210"/>
      <c r="T9" s="210"/>
      <c r="U9" s="210"/>
      <c r="V9" s="119"/>
      <c r="W9" s="209" t="s">
        <v>22</v>
      </c>
      <c r="X9" s="209"/>
      <c r="Y9" s="209"/>
      <c r="Z9" s="209"/>
      <c r="AA9" s="209"/>
      <c r="AB9" s="209"/>
      <c r="AC9" s="209"/>
      <c r="AD9" s="209"/>
      <c r="AE9" s="209"/>
      <c r="AF9" s="209"/>
      <c r="AG9" s="209"/>
      <c r="AH9" s="210" t="str">
        <f>E98</f>
        <v>282h50min</v>
      </c>
      <c r="AI9" s="210"/>
      <c r="AJ9" s="210"/>
      <c r="AK9" s="210"/>
      <c r="AL9" s="210"/>
      <c r="AM9" s="210"/>
      <c r="AN9" s="210"/>
      <c r="AO9" s="210"/>
      <c r="AP9" s="210"/>
      <c r="AQ9" s="210"/>
      <c r="AR9" s="210"/>
      <c r="AS9" s="210"/>
      <c r="AT9" s="210"/>
      <c r="AU9" s="210"/>
      <c r="AV9" s="210"/>
      <c r="AW9" s="21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1"/>
      <c r="BO10" s="211"/>
      <c r="BP10" s="211"/>
      <c r="BQ10" s="211"/>
      <c r="BR10" s="211"/>
      <c r="BS10" s="211"/>
      <c r="BT10" s="211"/>
      <c r="BU10" s="211"/>
      <c r="BV10" s="211"/>
      <c r="BW10" s="211"/>
      <c r="BX10" s="211"/>
      <c r="BY10" s="211"/>
      <c r="BZ10" s="211"/>
      <c r="CA10" s="211"/>
      <c r="CB10" s="211"/>
      <c r="CC10" s="211"/>
      <c r="CD10" s="211"/>
      <c r="CE10" s="211"/>
      <c r="CF10" s="211"/>
      <c r="CG10" s="211"/>
      <c r="CH10" s="211"/>
      <c r="CI10" s="211"/>
      <c r="CJ10" s="211"/>
      <c r="CK10" s="211"/>
      <c r="CL10" s="211"/>
      <c r="CM10" s="211"/>
      <c r="CN10" s="211"/>
      <c r="CO10" s="211"/>
      <c r="CP10" s="211"/>
      <c r="CQ10" s="92"/>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90"/>
    </row>
    <row r="11" spans="1:306" ht="20.100000000000001" customHeight="1" x14ac:dyDescent="0.25">
      <c r="B11" s="96"/>
      <c r="C11" s="212"/>
      <c r="D11" s="212"/>
      <c r="E11" s="212"/>
      <c r="F11" s="208" t="s">
        <v>43</v>
      </c>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t="s">
        <v>43</v>
      </c>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185" t="s">
        <v>43</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90"/>
    </row>
    <row r="12" spans="1:306" ht="15.75" customHeight="1" thickBot="1" x14ac:dyDescent="0.3">
      <c r="B12" s="97"/>
      <c r="C12" s="213"/>
      <c r="D12" s="213"/>
      <c r="E12" s="213"/>
      <c r="F12" s="207">
        <v>45237</v>
      </c>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t="s">
        <v>44</v>
      </c>
      <c r="BO12" s="207"/>
      <c r="BP12" s="207"/>
      <c r="BQ12" s="207"/>
      <c r="BR12" s="207"/>
      <c r="BS12" s="207"/>
      <c r="BT12" s="207"/>
      <c r="BU12" s="207"/>
      <c r="BV12" s="207"/>
      <c r="BW12" s="207"/>
      <c r="BX12" s="207"/>
      <c r="BY12" s="207"/>
      <c r="BZ12" s="207"/>
      <c r="CA12" s="207"/>
      <c r="CB12" s="207"/>
      <c r="CC12" s="207"/>
      <c r="CD12" s="207"/>
      <c r="CE12" s="207"/>
      <c r="CF12" s="207"/>
      <c r="CG12" s="207"/>
      <c r="CH12" s="207"/>
      <c r="CI12" s="207"/>
      <c r="CJ12" s="207"/>
      <c r="CK12" s="207"/>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186" t="s">
        <v>44</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186"/>
      <c r="GE12" s="186"/>
      <c r="GF12" s="186"/>
      <c r="GG12" s="186"/>
      <c r="GH12" s="186"/>
      <c r="GI12" s="186"/>
      <c r="GJ12" s="186"/>
      <c r="GK12" s="186"/>
      <c r="GL12" s="186"/>
      <c r="GM12" s="186"/>
      <c r="GN12" s="186"/>
      <c r="GO12" s="186"/>
      <c r="GP12" s="186"/>
      <c r="GQ12" s="186"/>
      <c r="GR12" s="186"/>
      <c r="GS12" s="186"/>
      <c r="GT12" s="186"/>
      <c r="GU12" s="186"/>
      <c r="GV12" s="186"/>
      <c r="GW12" s="186"/>
      <c r="GX12" s="186"/>
      <c r="GY12" s="186"/>
      <c r="GZ12" s="186"/>
      <c r="HA12" s="186"/>
      <c r="HB12" s="186"/>
      <c r="HC12" s="186"/>
      <c r="HD12" s="186"/>
      <c r="HE12" s="186"/>
      <c r="HF12" s="186"/>
      <c r="HG12" s="186"/>
      <c r="HH12" s="186"/>
      <c r="HI12" s="186"/>
      <c r="HJ12" s="186"/>
      <c r="HK12" s="186"/>
      <c r="HL12" s="186"/>
      <c r="HM12" s="186"/>
      <c r="HN12" s="186"/>
      <c r="HO12" s="186"/>
      <c r="HP12" s="186"/>
      <c r="HQ12" s="186"/>
      <c r="HR12" s="186"/>
      <c r="HS12" s="186"/>
      <c r="HT12" s="186"/>
      <c r="HU12" s="186"/>
      <c r="HV12" s="186"/>
      <c r="HW12" s="186"/>
      <c r="HX12" s="186"/>
      <c r="HY12" s="186"/>
      <c r="HZ12" s="186"/>
      <c r="IA12" s="186"/>
      <c r="IB12" s="186"/>
      <c r="IC12" s="186"/>
      <c r="ID12" s="186"/>
      <c r="IE12" s="186"/>
      <c r="IF12" s="186"/>
      <c r="IG12" s="186"/>
      <c r="IH12" s="186"/>
      <c r="II12" s="186"/>
      <c r="IJ12" s="186"/>
      <c r="IK12" s="186"/>
      <c r="IL12" s="186"/>
      <c r="IM12" s="186"/>
      <c r="IN12" s="186"/>
      <c r="IO12" s="186"/>
      <c r="IP12" s="186"/>
      <c r="IQ12" s="186"/>
      <c r="IR12" s="186"/>
      <c r="IS12" s="186"/>
      <c r="IT12" s="186"/>
      <c r="IU12" s="186"/>
      <c r="IV12" s="186"/>
      <c r="IW12" s="186"/>
      <c r="IX12" s="186"/>
      <c r="IY12" s="186"/>
      <c r="IZ12" s="186"/>
      <c r="JA12" s="186"/>
      <c r="JB12" s="186"/>
      <c r="JC12" s="186"/>
      <c r="JD12" s="186"/>
      <c r="JE12" s="186"/>
      <c r="JF12" s="186"/>
      <c r="JG12" s="186"/>
      <c r="JH12" s="186"/>
      <c r="JI12" s="186"/>
      <c r="JJ12" s="186"/>
      <c r="JK12" s="186"/>
      <c r="JL12" s="186"/>
      <c r="JM12" s="186"/>
      <c r="JN12" s="186"/>
      <c r="JO12" s="186"/>
      <c r="JP12" s="186"/>
      <c r="JQ12" s="186"/>
      <c r="JR12" s="186"/>
      <c r="JS12" s="186"/>
      <c r="JT12" s="186"/>
      <c r="JU12" s="186"/>
      <c r="JV12" s="186"/>
      <c r="JW12" s="186"/>
      <c r="JX12" s="186"/>
      <c r="JY12" s="186"/>
      <c r="JZ12" s="186"/>
      <c r="KA12" s="186"/>
      <c r="KB12" s="186"/>
      <c r="KC12" s="186"/>
      <c r="KD12" s="186"/>
      <c r="KE12" s="186"/>
      <c r="KF12" s="186"/>
      <c r="KG12" s="186"/>
      <c r="KH12" s="186"/>
      <c r="KI12" s="186"/>
      <c r="KJ12" s="186"/>
      <c r="KK12" s="186"/>
      <c r="KL12" s="186"/>
      <c r="KM12" s="186"/>
      <c r="KN12" s="186"/>
      <c r="KO12" s="186"/>
      <c r="KP12" s="186"/>
      <c r="KQ12" s="186"/>
      <c r="KR12" s="186"/>
      <c r="KS12" s="186"/>
      <c r="KT12" s="90"/>
    </row>
    <row r="13" spans="1:306" ht="42.75" customHeight="1" thickBot="1" x14ac:dyDescent="0.3">
      <c r="B13" s="96"/>
      <c r="C13" s="203" t="s">
        <v>7</v>
      </c>
      <c r="D13" s="145"/>
      <c r="E13" s="205" t="s">
        <v>40</v>
      </c>
      <c r="F13" s="187" t="s">
        <v>8</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27</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18</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187" t="s">
        <v>45</v>
      </c>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9"/>
      <c r="IL13" s="187" t="s">
        <v>11</v>
      </c>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88"/>
      <c r="KL13" s="188"/>
      <c r="KM13" s="188"/>
      <c r="KN13" s="188"/>
      <c r="KO13" s="188"/>
      <c r="KP13" s="188"/>
      <c r="KQ13" s="188"/>
      <c r="KR13" s="188"/>
      <c r="KS13" s="189"/>
      <c r="KT13" s="90"/>
    </row>
    <row r="14" spans="1:306" ht="12.75" customHeight="1" thickBot="1" x14ac:dyDescent="0.35">
      <c r="B14" s="96"/>
      <c r="C14" s="204"/>
      <c r="D14" s="146"/>
      <c r="E14" s="206"/>
      <c r="F14" s="103"/>
      <c r="G14" s="104"/>
      <c r="H14" s="104"/>
      <c r="I14" s="104"/>
      <c r="J14" s="190" t="s">
        <v>35</v>
      </c>
      <c r="K14" s="190"/>
      <c r="L14" s="190"/>
      <c r="M14" s="190"/>
      <c r="N14" s="104"/>
      <c r="O14" s="104"/>
      <c r="P14" s="191" t="s">
        <v>23</v>
      </c>
      <c r="Q14" s="191"/>
      <c r="R14" s="191"/>
      <c r="S14" s="191"/>
      <c r="T14" s="129"/>
      <c r="U14" s="129"/>
      <c r="V14" s="190" t="s">
        <v>36</v>
      </c>
      <c r="W14" s="190"/>
      <c r="X14" s="190"/>
      <c r="Y14" s="190"/>
      <c r="Z14" s="104"/>
      <c r="AA14" s="104"/>
      <c r="AB14" s="191" t="s">
        <v>24</v>
      </c>
      <c r="AC14" s="191"/>
      <c r="AD14" s="191"/>
      <c r="AE14" s="191"/>
      <c r="AF14" s="129"/>
      <c r="AG14" s="129"/>
      <c r="AH14" s="190" t="s">
        <v>37</v>
      </c>
      <c r="AI14" s="190"/>
      <c r="AJ14" s="190"/>
      <c r="AK14" s="190"/>
      <c r="AL14" s="104"/>
      <c r="AM14" s="104"/>
      <c r="AN14" s="191" t="s">
        <v>25</v>
      </c>
      <c r="AO14" s="191"/>
      <c r="AP14" s="191"/>
      <c r="AQ14" s="191"/>
      <c r="AR14" s="129"/>
      <c r="AS14" s="129"/>
      <c r="AT14" s="190" t="s">
        <v>38</v>
      </c>
      <c r="AU14" s="190"/>
      <c r="AV14" s="190"/>
      <c r="AW14" s="190"/>
      <c r="AX14" s="104"/>
      <c r="AY14" s="104"/>
      <c r="AZ14" s="191" t="s">
        <v>26</v>
      </c>
      <c r="BA14" s="191"/>
      <c r="BB14" s="191"/>
      <c r="BC14" s="191"/>
      <c r="BD14" s="129"/>
      <c r="BE14" s="129"/>
      <c r="BF14" s="190" t="s">
        <v>39</v>
      </c>
      <c r="BG14" s="190"/>
      <c r="BH14" s="190"/>
      <c r="BI14" s="190"/>
      <c r="BJ14" s="104"/>
      <c r="BK14" s="104"/>
      <c r="BL14" s="104"/>
      <c r="BM14" s="105"/>
      <c r="BN14" s="103"/>
      <c r="BO14" s="104"/>
      <c r="BP14" s="104"/>
      <c r="BQ14" s="104"/>
      <c r="BR14" s="190" t="s">
        <v>35</v>
      </c>
      <c r="BS14" s="190"/>
      <c r="BT14" s="190"/>
      <c r="BU14" s="190"/>
      <c r="BV14" s="104"/>
      <c r="BW14" s="104"/>
      <c r="BX14" s="191" t="s">
        <v>23</v>
      </c>
      <c r="BY14" s="191"/>
      <c r="BZ14" s="191"/>
      <c r="CA14" s="191"/>
      <c r="CB14" s="129"/>
      <c r="CC14" s="129"/>
      <c r="CD14" s="190" t="s">
        <v>36</v>
      </c>
      <c r="CE14" s="190"/>
      <c r="CF14" s="190"/>
      <c r="CG14" s="190"/>
      <c r="CH14" s="104"/>
      <c r="CI14" s="104"/>
      <c r="CJ14" s="191" t="s">
        <v>24</v>
      </c>
      <c r="CK14" s="191"/>
      <c r="CL14" s="191"/>
      <c r="CM14" s="191"/>
      <c r="CN14" s="129"/>
      <c r="CO14" s="129"/>
      <c r="CP14" s="190" t="s">
        <v>37</v>
      </c>
      <c r="CQ14" s="190"/>
      <c r="CR14" s="190"/>
      <c r="CS14" s="190"/>
      <c r="CT14" s="104"/>
      <c r="CU14" s="104"/>
      <c r="CV14" s="191" t="s">
        <v>25</v>
      </c>
      <c r="CW14" s="191"/>
      <c r="CX14" s="191"/>
      <c r="CY14" s="191"/>
      <c r="CZ14" s="129"/>
      <c r="DA14" s="129"/>
      <c r="DB14" s="190" t="s">
        <v>38</v>
      </c>
      <c r="DC14" s="190"/>
      <c r="DD14" s="190"/>
      <c r="DE14" s="190"/>
      <c r="DF14" s="104"/>
      <c r="DG14" s="104"/>
      <c r="DH14" s="191" t="s">
        <v>26</v>
      </c>
      <c r="DI14" s="191"/>
      <c r="DJ14" s="191"/>
      <c r="DK14" s="191"/>
      <c r="DL14" s="129"/>
      <c r="DM14" s="129"/>
      <c r="DN14" s="190" t="s">
        <v>39</v>
      </c>
      <c r="DO14" s="190"/>
      <c r="DP14" s="190"/>
      <c r="DQ14" s="190"/>
      <c r="DR14" s="104"/>
      <c r="DS14" s="104"/>
      <c r="DT14" s="104"/>
      <c r="DU14" s="105"/>
      <c r="DV14" s="103"/>
      <c r="DW14" s="104"/>
      <c r="DX14" s="104"/>
      <c r="DY14" s="104"/>
      <c r="DZ14" s="190" t="s">
        <v>35</v>
      </c>
      <c r="EA14" s="190"/>
      <c r="EB14" s="190"/>
      <c r="EC14" s="190"/>
      <c r="ED14" s="104"/>
      <c r="EE14" s="104"/>
      <c r="EF14" s="191" t="s">
        <v>23</v>
      </c>
      <c r="EG14" s="191"/>
      <c r="EH14" s="191"/>
      <c r="EI14" s="191"/>
      <c r="EJ14" s="129"/>
      <c r="EK14" s="129"/>
      <c r="EL14" s="190" t="s">
        <v>36</v>
      </c>
      <c r="EM14" s="190"/>
      <c r="EN14" s="190"/>
      <c r="EO14" s="190"/>
      <c r="EP14" s="104"/>
      <c r="EQ14" s="104"/>
      <c r="ER14" s="191" t="s">
        <v>24</v>
      </c>
      <c r="ES14" s="191"/>
      <c r="ET14" s="191"/>
      <c r="EU14" s="191"/>
      <c r="EV14" s="129"/>
      <c r="EW14" s="129"/>
      <c r="EX14" s="190" t="s">
        <v>37</v>
      </c>
      <c r="EY14" s="190"/>
      <c r="EZ14" s="190"/>
      <c r="FA14" s="190"/>
      <c r="FB14" s="104"/>
      <c r="FC14" s="104"/>
      <c r="FD14" s="191" t="s">
        <v>25</v>
      </c>
      <c r="FE14" s="191"/>
      <c r="FF14" s="191"/>
      <c r="FG14" s="191"/>
      <c r="FH14" s="129"/>
      <c r="FI14" s="129"/>
      <c r="FJ14" s="190" t="s">
        <v>38</v>
      </c>
      <c r="FK14" s="190"/>
      <c r="FL14" s="190"/>
      <c r="FM14" s="190"/>
      <c r="FN14" s="104"/>
      <c r="FO14" s="104"/>
      <c r="FP14" s="191" t="s">
        <v>26</v>
      </c>
      <c r="FQ14" s="191"/>
      <c r="FR14" s="191"/>
      <c r="FS14" s="191"/>
      <c r="FT14" s="129"/>
      <c r="FU14" s="129"/>
      <c r="FV14" s="190" t="s">
        <v>39</v>
      </c>
      <c r="FW14" s="190"/>
      <c r="FX14" s="190"/>
      <c r="FY14" s="190"/>
      <c r="FZ14" s="104"/>
      <c r="GA14" s="104"/>
      <c r="GB14" s="104"/>
      <c r="GC14" s="105"/>
      <c r="GD14" s="103"/>
      <c r="GE14" s="104"/>
      <c r="GF14" s="104"/>
      <c r="GG14" s="104"/>
      <c r="GH14" s="190" t="s">
        <v>35</v>
      </c>
      <c r="GI14" s="190"/>
      <c r="GJ14" s="190"/>
      <c r="GK14" s="190"/>
      <c r="GL14" s="104"/>
      <c r="GM14" s="104"/>
      <c r="GN14" s="191" t="s">
        <v>23</v>
      </c>
      <c r="GO14" s="191"/>
      <c r="GP14" s="191"/>
      <c r="GQ14" s="191"/>
      <c r="GR14" s="129"/>
      <c r="GS14" s="129"/>
      <c r="GT14" s="190" t="s">
        <v>36</v>
      </c>
      <c r="GU14" s="190"/>
      <c r="GV14" s="190"/>
      <c r="GW14" s="190"/>
      <c r="GX14" s="104"/>
      <c r="GY14" s="104"/>
      <c r="GZ14" s="191" t="s">
        <v>24</v>
      </c>
      <c r="HA14" s="191"/>
      <c r="HB14" s="191"/>
      <c r="HC14" s="191"/>
      <c r="HD14" s="129"/>
      <c r="HE14" s="129"/>
      <c r="HF14" s="190" t="s">
        <v>37</v>
      </c>
      <c r="HG14" s="190"/>
      <c r="HH14" s="190"/>
      <c r="HI14" s="190"/>
      <c r="HJ14" s="104"/>
      <c r="HK14" s="104"/>
      <c r="HL14" s="191" t="s">
        <v>25</v>
      </c>
      <c r="HM14" s="191"/>
      <c r="HN14" s="191"/>
      <c r="HO14" s="191"/>
      <c r="HP14" s="129"/>
      <c r="HQ14" s="129"/>
      <c r="HR14" s="190" t="s">
        <v>38</v>
      </c>
      <c r="HS14" s="190"/>
      <c r="HT14" s="190"/>
      <c r="HU14" s="190"/>
      <c r="HV14" s="104"/>
      <c r="HW14" s="104"/>
      <c r="HX14" s="191" t="s">
        <v>26</v>
      </c>
      <c r="HY14" s="191"/>
      <c r="HZ14" s="191"/>
      <c r="IA14" s="191"/>
      <c r="IB14" s="129"/>
      <c r="IC14" s="129"/>
      <c r="ID14" s="190" t="s">
        <v>39</v>
      </c>
      <c r="IE14" s="190"/>
      <c r="IF14" s="190"/>
      <c r="IG14" s="190"/>
      <c r="IH14" s="104"/>
      <c r="II14" s="104"/>
      <c r="IJ14" s="104"/>
      <c r="IK14" s="105"/>
      <c r="IL14" s="103"/>
      <c r="IM14" s="104"/>
      <c r="IN14" s="104"/>
      <c r="IO14" s="104"/>
      <c r="IP14" s="190" t="s">
        <v>35</v>
      </c>
      <c r="IQ14" s="190"/>
      <c r="IR14" s="190"/>
      <c r="IS14" s="190"/>
      <c r="IT14" s="104"/>
      <c r="IU14" s="104"/>
      <c r="IV14" s="191" t="s">
        <v>23</v>
      </c>
      <c r="IW14" s="191"/>
      <c r="IX14" s="191"/>
      <c r="IY14" s="191"/>
      <c r="IZ14" s="129"/>
      <c r="JA14" s="129"/>
      <c r="JB14" s="190" t="s">
        <v>36</v>
      </c>
      <c r="JC14" s="190"/>
      <c r="JD14" s="190"/>
      <c r="JE14" s="190"/>
      <c r="JF14" s="104"/>
      <c r="JG14" s="104"/>
      <c r="JH14" s="191" t="s">
        <v>24</v>
      </c>
      <c r="JI14" s="191"/>
      <c r="JJ14" s="191"/>
      <c r="JK14" s="191"/>
      <c r="JL14" s="129"/>
      <c r="JM14" s="129"/>
      <c r="JN14" s="190" t="s">
        <v>37</v>
      </c>
      <c r="JO14" s="190"/>
      <c r="JP14" s="190"/>
      <c r="JQ14" s="190"/>
      <c r="JR14" s="104"/>
      <c r="JS14" s="104"/>
      <c r="JT14" s="191" t="s">
        <v>25</v>
      </c>
      <c r="JU14" s="191"/>
      <c r="JV14" s="191"/>
      <c r="JW14" s="191"/>
      <c r="JX14" s="129"/>
      <c r="JY14" s="129"/>
      <c r="JZ14" s="190" t="s">
        <v>38</v>
      </c>
      <c r="KA14" s="190"/>
      <c r="KB14" s="190"/>
      <c r="KC14" s="190"/>
      <c r="KD14" s="104"/>
      <c r="KE14" s="104"/>
      <c r="KF14" s="191" t="s">
        <v>26</v>
      </c>
      <c r="KG14" s="191"/>
      <c r="KH14" s="191"/>
      <c r="KI14" s="191"/>
      <c r="KJ14" s="129"/>
      <c r="KK14" s="129"/>
      <c r="KL14" s="190" t="s">
        <v>39</v>
      </c>
      <c r="KM14" s="190"/>
      <c r="KN14" s="190"/>
      <c r="KO14" s="190"/>
      <c r="KP14" s="104"/>
      <c r="KQ14" s="104"/>
      <c r="KR14" s="104"/>
      <c r="KS14" s="105"/>
      <c r="KT14" s="90"/>
    </row>
    <row r="15" spans="1:306" ht="20.100000000000001" customHeight="1" x14ac:dyDescent="0.25">
      <c r="A15" s="100" t="s">
        <v>19</v>
      </c>
      <c r="B15" s="63" t="str">
        <f>IF(LEN(C15)=0,"",C15)</f>
        <v xml:space="preserve">Absences - imprévus </v>
      </c>
      <c r="C15" s="200"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1"/>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200"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201"/>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200"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202"/>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200"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202"/>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200"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202"/>
      <c r="D24" s="148" t="str">
        <f t="shared" si="0"/>
        <v>10h40min</v>
      </c>
      <c r="E24" s="27">
        <v>128</v>
      </c>
      <c r="F24" s="28"/>
      <c r="G24" s="67"/>
      <c r="H24" s="67"/>
      <c r="I24" s="67"/>
      <c r="J24" s="29"/>
      <c r="K24" s="131"/>
      <c r="L24" s="29"/>
      <c r="M24" s="29"/>
      <c r="N24" s="29"/>
      <c r="O24" s="29"/>
      <c r="P24" s="29"/>
      <c r="Q24" s="136"/>
      <c r="R24" s="29"/>
      <c r="S24" s="176"/>
      <c r="T24" s="176"/>
      <c r="U24" s="176"/>
      <c r="V24" s="176"/>
      <c r="W24" s="179"/>
      <c r="X24" s="176"/>
      <c r="Y24" s="176"/>
      <c r="Z24" s="176"/>
      <c r="AA24" s="176"/>
      <c r="AB24" s="176"/>
      <c r="AC24" s="178"/>
      <c r="AD24" s="176"/>
      <c r="AE24" s="176"/>
      <c r="AF24" s="176"/>
      <c r="AG24" s="176"/>
      <c r="AH24" s="176"/>
      <c r="AI24" s="179"/>
      <c r="AJ24" s="175"/>
      <c r="AK24" s="175"/>
      <c r="AL24" s="175"/>
      <c r="AM24" s="175"/>
      <c r="AN24" s="176"/>
      <c r="AO24" s="178"/>
      <c r="AP24" s="176"/>
      <c r="AQ24" s="176"/>
      <c r="AR24" s="176"/>
      <c r="AS24" s="176"/>
      <c r="AT24" s="176"/>
      <c r="AU24" s="179"/>
      <c r="AV24" s="176"/>
      <c r="AW24" s="176"/>
      <c r="AX24" s="176"/>
      <c r="AY24" s="176"/>
      <c r="AZ24" s="176"/>
      <c r="BA24" s="178"/>
      <c r="BB24" s="176"/>
      <c r="BC24" s="176"/>
      <c r="BD24" s="176"/>
      <c r="BE24" s="29"/>
      <c r="BF24" s="29"/>
      <c r="BG24" s="73"/>
      <c r="BH24" s="29"/>
      <c r="BI24" s="29"/>
      <c r="BJ24" s="29"/>
      <c r="BK24" s="29"/>
      <c r="BL24" s="29"/>
      <c r="BM24" s="30"/>
      <c r="BN24" s="28"/>
      <c r="BO24" s="67"/>
      <c r="BP24" s="67"/>
      <c r="BQ24" s="67"/>
      <c r="BR24" s="29"/>
      <c r="BS24" s="131"/>
      <c r="BT24" s="29"/>
      <c r="BU24" s="29"/>
      <c r="BV24" s="29"/>
      <c r="BW24" s="176"/>
      <c r="BX24" s="176"/>
      <c r="BY24" s="178"/>
      <c r="BZ24" s="176"/>
      <c r="CA24" s="176"/>
      <c r="CB24" s="176"/>
      <c r="CC24" s="176"/>
      <c r="CD24" s="176"/>
      <c r="CE24" s="179"/>
      <c r="CF24" s="176"/>
      <c r="CG24" s="176"/>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0"/>
      <c r="NC24" s="180"/>
      <c r="ND24" s="180"/>
      <c r="NE24" s="180"/>
      <c r="NF24" s="180"/>
      <c r="NG24" s="180"/>
      <c r="NH24" s="180"/>
      <c r="NI24" s="180"/>
      <c r="NJ24" s="180"/>
    </row>
    <row r="25" spans="1:385" ht="20.100000000000001" customHeight="1" x14ac:dyDescent="0.25">
      <c r="A25" s="100" t="s">
        <v>19</v>
      </c>
      <c r="B25" s="63" t="str">
        <f>IF(LEN(C35)=0,"",C35)</f>
        <v/>
      </c>
      <c r="C25" s="200"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201"/>
      <c r="D26" s="149" t="str">
        <f t="shared" si="0"/>
        <v>7h40min</v>
      </c>
      <c r="E26" s="35">
        <v>92</v>
      </c>
      <c r="F26" s="167"/>
      <c r="G26" s="168"/>
      <c r="H26" s="168"/>
      <c r="I26" s="168"/>
      <c r="J26" s="169"/>
      <c r="K26" s="170"/>
      <c r="L26" s="169"/>
      <c r="M26" s="169"/>
      <c r="N26" s="169"/>
      <c r="O26" s="169"/>
      <c r="P26" s="169"/>
      <c r="Q26" s="171"/>
      <c r="R26" s="169"/>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200"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201"/>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4"/>
      <c r="BO28" s="175"/>
      <c r="BP28" s="175"/>
      <c r="BQ28" s="175"/>
      <c r="BR28" s="176"/>
      <c r="BS28" s="177"/>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76"/>
      <c r="JK28" s="176"/>
      <c r="JL28" s="176"/>
      <c r="JM28" s="176"/>
      <c r="JN28" s="176"/>
      <c r="JO28" s="179"/>
      <c r="JP28" s="175"/>
      <c r="JQ28" s="175"/>
      <c r="JR28" s="175"/>
      <c r="JS28" s="175"/>
      <c r="JT28" s="176"/>
      <c r="JU28" s="178"/>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1"/>
      <c r="KU28" s="180"/>
      <c r="KV28" s="180"/>
      <c r="KW28" s="180"/>
      <c r="KX28" s="180"/>
      <c r="KY28" s="180"/>
      <c r="KZ28" s="180"/>
      <c r="LA28" s="180"/>
      <c r="LB28" s="180"/>
      <c r="LC28" s="180"/>
      <c r="LD28" s="180"/>
      <c r="LE28" s="180"/>
      <c r="LF28" s="180"/>
    </row>
    <row r="29" spans="1:385" ht="20.100000000000001" customHeight="1" x14ac:dyDescent="0.25">
      <c r="A29" s="100" t="s">
        <v>19</v>
      </c>
      <c r="B29" s="63" t="str">
        <f>IF(LEN(C43)=0,"",C43)</f>
        <v/>
      </c>
      <c r="C29" s="200"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201"/>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69"/>
      <c r="BU30" s="169"/>
      <c r="BV30" s="169"/>
      <c r="BW30" s="37"/>
      <c r="BX30" s="37"/>
      <c r="BY30" s="138"/>
      <c r="BZ30" s="37"/>
      <c r="CA30" s="37"/>
      <c r="CB30" s="37"/>
      <c r="CC30" s="37"/>
      <c r="CD30" s="37"/>
      <c r="CE30" s="75"/>
      <c r="CF30" s="37"/>
      <c r="CG30" s="37"/>
      <c r="CH30" s="169"/>
      <c r="CI30" s="169"/>
      <c r="CJ30" s="169"/>
      <c r="CK30" s="171"/>
      <c r="CL30" s="169"/>
      <c r="CM30" s="169"/>
      <c r="CN30" s="169"/>
      <c r="CO30" s="169"/>
      <c r="CP30" s="169"/>
      <c r="CQ30" s="173"/>
      <c r="CR30" s="168"/>
      <c r="CS30" s="168"/>
      <c r="CT30" s="168"/>
      <c r="CU30" s="168"/>
      <c r="CV30" s="169"/>
      <c r="CW30" s="171"/>
      <c r="CX30" s="169"/>
      <c r="CY30" s="169"/>
      <c r="CZ30" s="169"/>
      <c r="DA30" s="169"/>
      <c r="DB30" s="169"/>
      <c r="DC30" s="173"/>
      <c r="DD30" s="169"/>
      <c r="DE30" s="169"/>
      <c r="DF30" s="169"/>
      <c r="DG30" s="169"/>
      <c r="DH30" s="169"/>
      <c r="DI30" s="171"/>
      <c r="DJ30" s="169"/>
      <c r="DK30" s="37"/>
      <c r="DL30" s="37"/>
      <c r="DM30" s="37"/>
      <c r="DN30" s="37"/>
      <c r="DO30" s="75"/>
      <c r="DP30" s="37"/>
      <c r="DQ30" s="37"/>
      <c r="DR30" s="37"/>
      <c r="DS30" s="37"/>
      <c r="DT30" s="37"/>
      <c r="DU30" s="38"/>
      <c r="DV30" s="167"/>
      <c r="DW30" s="168"/>
      <c r="DX30" s="168"/>
      <c r="DY30" s="168"/>
      <c r="DZ30" s="169"/>
      <c r="EA30" s="170"/>
      <c r="EB30" s="169"/>
      <c r="EC30" s="169"/>
      <c r="ED30" s="169"/>
      <c r="EE30" s="169"/>
      <c r="EF30" s="169"/>
      <c r="EG30" s="171"/>
      <c r="EH30" s="169"/>
      <c r="EI30" s="169"/>
      <c r="EJ30" s="169"/>
      <c r="EK30" s="169"/>
      <c r="EL30" s="169"/>
      <c r="EM30" s="173"/>
      <c r="EN30" s="169"/>
      <c r="EO30" s="169"/>
      <c r="EP30" s="169"/>
      <c r="EQ30" s="169"/>
      <c r="ER30" s="169"/>
      <c r="ES30" s="171"/>
      <c r="ET30" s="169"/>
      <c r="EU30" s="169"/>
      <c r="EV30" s="169"/>
      <c r="EW30" s="169"/>
      <c r="EX30" s="169"/>
      <c r="EY30" s="173"/>
      <c r="EZ30" s="168"/>
      <c r="FA30" s="168"/>
      <c r="FB30" s="168"/>
      <c r="FC30" s="168"/>
      <c r="FD30" s="169"/>
      <c r="FE30" s="171"/>
      <c r="FF30" s="169"/>
      <c r="FG30" s="169"/>
      <c r="FH30" s="169"/>
      <c r="FI30" s="169"/>
      <c r="FJ30" s="169"/>
      <c r="FK30" s="173"/>
      <c r="FL30" s="169"/>
      <c r="FM30" s="169"/>
      <c r="FN30" s="169"/>
      <c r="FO30" s="169"/>
      <c r="FP30" s="169"/>
      <c r="FQ30" s="171"/>
      <c r="FR30" s="169"/>
      <c r="FS30" s="169"/>
      <c r="FT30" s="169"/>
      <c r="FU30" s="169"/>
      <c r="FV30" s="37"/>
      <c r="FW30" s="75"/>
      <c r="FX30" s="37"/>
      <c r="FY30" s="37"/>
      <c r="FZ30" s="37"/>
      <c r="GA30" s="37"/>
      <c r="GB30" s="37"/>
      <c r="GC30" s="38"/>
      <c r="GD30" s="167"/>
      <c r="GE30" s="168"/>
      <c r="GF30" s="168"/>
      <c r="GG30" s="168"/>
      <c r="GH30" s="169"/>
      <c r="GI30" s="170"/>
      <c r="GJ30" s="169"/>
      <c r="GK30" s="169"/>
      <c r="GL30" s="169"/>
      <c r="GM30" s="169"/>
      <c r="GN30" s="169"/>
      <c r="GO30" s="171"/>
      <c r="GP30" s="169"/>
      <c r="GQ30" s="169"/>
      <c r="GR30" s="169"/>
      <c r="GS30" s="169"/>
      <c r="GT30" s="169"/>
      <c r="GU30" s="173"/>
      <c r="GV30" s="169"/>
      <c r="GW30" s="169"/>
      <c r="GX30" s="169"/>
      <c r="GY30" s="169"/>
      <c r="GZ30" s="169"/>
      <c r="HA30" s="171"/>
      <c r="HB30" s="169"/>
      <c r="HC30" s="169"/>
      <c r="HD30" s="169"/>
      <c r="HE30" s="169"/>
      <c r="HF30" s="169"/>
      <c r="HG30" s="173"/>
      <c r="HH30" s="168"/>
      <c r="HI30" s="168"/>
      <c r="HJ30" s="168"/>
      <c r="HK30" s="168"/>
      <c r="HL30" s="169"/>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7"/>
      <c r="IM30" s="168"/>
      <c r="IN30" s="168"/>
      <c r="IO30" s="168"/>
      <c r="IP30" s="169"/>
      <c r="IQ30" s="170"/>
      <c r="IR30" s="169"/>
      <c r="IS30" s="169"/>
      <c r="IT30" s="169"/>
      <c r="IU30" s="169"/>
      <c r="IV30" s="169"/>
      <c r="IW30" s="171"/>
      <c r="IX30" s="169"/>
      <c r="IY30" s="169"/>
      <c r="IZ30" s="169"/>
      <c r="JA30" s="169"/>
      <c r="JB30" s="169"/>
      <c r="JC30" s="173"/>
      <c r="JD30" s="169"/>
      <c r="JE30" s="169"/>
      <c r="JF30" s="169"/>
      <c r="JG30" s="169"/>
      <c r="JH30" s="169"/>
      <c r="JI30" s="171"/>
      <c r="JJ30" s="37"/>
      <c r="JK30" s="37"/>
      <c r="JL30" s="37"/>
      <c r="JM30" s="37"/>
      <c r="JN30" s="37"/>
      <c r="JO30" s="75"/>
      <c r="JP30" s="65"/>
      <c r="JQ30" s="65"/>
      <c r="JR30" s="65"/>
      <c r="JS30" s="65"/>
      <c r="JT30" s="37"/>
      <c r="JU30" s="138"/>
      <c r="JV30" s="169"/>
      <c r="JW30" s="169"/>
      <c r="JX30" s="169"/>
      <c r="JY30" s="169"/>
      <c r="JZ30" s="169"/>
      <c r="KA30" s="173"/>
      <c r="KB30" s="169"/>
      <c r="KC30" s="169"/>
      <c r="KD30" s="169"/>
      <c r="KE30" s="169"/>
      <c r="KF30" s="169"/>
      <c r="KG30" s="138"/>
      <c r="KH30" s="37"/>
      <c r="KI30" s="37"/>
      <c r="KJ30" s="37"/>
      <c r="KK30" s="37"/>
      <c r="KL30" s="37"/>
      <c r="KM30" s="75"/>
      <c r="KN30" s="37"/>
      <c r="KO30" s="37"/>
      <c r="KP30" s="37"/>
      <c r="KQ30" s="37"/>
      <c r="KR30" s="37"/>
      <c r="KS30" s="38"/>
      <c r="KT30" s="90"/>
      <c r="LG30" s="180"/>
      <c r="LH30" s="180"/>
      <c r="LI30" s="180"/>
      <c r="LJ30" s="180"/>
      <c r="LK30" s="180"/>
      <c r="LL30" s="180"/>
      <c r="LM30" s="180"/>
      <c r="LN30" s="180"/>
      <c r="LO30" s="180"/>
      <c r="LP30" s="180"/>
      <c r="LQ30" s="180"/>
      <c r="LR30" s="180"/>
      <c r="LS30" s="180"/>
      <c r="LT30" s="180"/>
      <c r="LU30" s="180"/>
      <c r="LV30" s="180"/>
      <c r="LW30" s="180"/>
      <c r="LX30" s="180"/>
      <c r="LY30" s="180"/>
      <c r="LZ30" s="180"/>
      <c r="MA30" s="180"/>
      <c r="MB30" s="180"/>
      <c r="MC30" s="180"/>
      <c r="MD30" s="180"/>
      <c r="ME30" s="180"/>
      <c r="MF30" s="180"/>
      <c r="MG30" s="180"/>
      <c r="MH30" s="180"/>
      <c r="MI30" s="180"/>
      <c r="NK30" s="180"/>
      <c r="NL30" s="180"/>
      <c r="NM30" s="180"/>
      <c r="NN30" s="180"/>
      <c r="NO30" s="180"/>
      <c r="NP30" s="180"/>
      <c r="NQ30" s="180"/>
      <c r="NR30" s="180"/>
      <c r="NS30" s="180"/>
      <c r="NT30" s="180"/>
      <c r="NU30" s="180"/>
    </row>
    <row r="31" spans="1:385" ht="20.100000000000001" customHeight="1" x14ac:dyDescent="0.25">
      <c r="A31" s="100" t="s">
        <v>19</v>
      </c>
      <c r="B31" s="63" t="str">
        <f>IF(LEN(C47)=0,"",C47)</f>
        <v/>
      </c>
      <c r="C31" s="200"/>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201"/>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0"/>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1"/>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0"/>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2"/>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0"/>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1"/>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0"/>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2"/>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0"/>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1"/>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0"/>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1"/>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0"/>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2"/>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0"/>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1"/>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0"/>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1"/>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0"/>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2"/>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0"/>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1"/>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0"/>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2"/>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0"/>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1"/>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0"/>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1"/>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0"/>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2"/>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0"/>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1"/>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0"/>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1"/>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0"/>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2"/>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0"/>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1"/>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0"/>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2"/>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0"/>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1"/>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0"/>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1"/>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0"/>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2"/>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0"/>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1"/>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0"/>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1"/>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0"/>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2"/>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0"/>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1"/>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0"/>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2"/>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0"/>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1"/>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0"/>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1"/>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0"/>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2"/>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2" t="s">
        <v>9</v>
      </c>
      <c r="D95" s="193"/>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4"/>
      <c r="D96" s="195"/>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6" t="s">
        <v>10</v>
      </c>
      <c r="D97" s="197"/>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198"/>
      <c r="D98" s="199"/>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8</v>
      </c>
      <c r="C2" s="165"/>
      <c r="D2" s="158" t="s">
        <v>14</v>
      </c>
      <c r="E2" s="228">
        <v>45300</v>
      </c>
      <c r="F2" s="229"/>
      <c r="G2" s="46"/>
    </row>
    <row r="3" spans="1:7" s="47" customFormat="1" ht="30" customHeight="1" thickBot="1" x14ac:dyDescent="0.3">
      <c r="A3" s="78" t="s">
        <v>5</v>
      </c>
      <c r="B3" s="162" t="s">
        <v>41</v>
      </c>
      <c r="C3" s="161"/>
      <c r="D3" s="78" t="s">
        <v>12</v>
      </c>
      <c r="E3" s="222" t="s">
        <v>13</v>
      </c>
      <c r="F3" s="223"/>
      <c r="G3" s="46"/>
    </row>
    <row r="4" spans="1:7" s="52" customFormat="1" ht="27" x14ac:dyDescent="0.3">
      <c r="A4" s="48" t="s">
        <v>31</v>
      </c>
      <c r="B4" s="49">
        <v>1</v>
      </c>
      <c r="C4" s="153" t="str">
        <f xml:space="preserve"> IF(B4="","",setValueToTime(B4))</f>
        <v>0h5min</v>
      </c>
      <c r="D4" s="166" t="s">
        <v>88</v>
      </c>
      <c r="E4" s="224"/>
      <c r="F4" s="225"/>
      <c r="G4" s="51"/>
    </row>
    <row r="5" spans="1:7" s="52" customFormat="1" ht="27" x14ac:dyDescent="0.3">
      <c r="A5" s="53" t="s">
        <v>31</v>
      </c>
      <c r="B5" s="54">
        <v>3</v>
      </c>
      <c r="C5" s="154" t="str">
        <f t="shared" ref="C5:C11" si="0" xml:space="preserve"> IF(B5="","",setValueToTime(B5))</f>
        <v>0h15min</v>
      </c>
      <c r="D5" s="172" t="s">
        <v>89</v>
      </c>
      <c r="E5" s="216"/>
      <c r="F5" s="217"/>
      <c r="G5" s="51"/>
    </row>
    <row r="6" spans="1:7" s="52" customFormat="1" x14ac:dyDescent="0.3">
      <c r="A6" s="53" t="s">
        <v>57</v>
      </c>
      <c r="B6" s="54">
        <v>17</v>
      </c>
      <c r="C6" s="154" t="str">
        <f xml:space="preserve"> IF(B6="","",setValueToTime(B6))</f>
        <v>1h25min</v>
      </c>
      <c r="D6" s="172" t="s">
        <v>90</v>
      </c>
      <c r="E6" s="216"/>
      <c r="F6" s="217"/>
      <c r="G6" s="51"/>
    </row>
    <row r="7" spans="1:7" s="52" customFormat="1" x14ac:dyDescent="0.3">
      <c r="A7" s="53"/>
      <c r="B7" s="54"/>
      <c r="C7" s="154" t="str">
        <f t="shared" si="0"/>
        <v/>
      </c>
      <c r="D7" s="55"/>
      <c r="E7" s="216"/>
      <c r="F7" s="217"/>
      <c r="G7" s="51"/>
    </row>
    <row r="8" spans="1:7" s="52" customFormat="1" x14ac:dyDescent="0.3">
      <c r="A8" s="54"/>
      <c r="B8" s="54"/>
      <c r="C8" s="155" t="str">
        <f t="shared" si="0"/>
        <v/>
      </c>
      <c r="D8" s="55"/>
      <c r="E8" s="216"/>
      <c r="F8" s="217"/>
      <c r="G8" s="51"/>
    </row>
    <row r="9" spans="1:7" s="52" customFormat="1" x14ac:dyDescent="0.3">
      <c r="A9" s="54"/>
      <c r="B9" s="54"/>
      <c r="C9" s="155" t="str">
        <f t="shared" si="0"/>
        <v/>
      </c>
      <c r="D9" s="55"/>
      <c r="E9" s="216"/>
      <c r="F9" s="217"/>
      <c r="G9" s="51"/>
    </row>
    <row r="10" spans="1:7" s="52" customFormat="1" x14ac:dyDescent="0.3">
      <c r="A10" s="54"/>
      <c r="B10" s="54"/>
      <c r="C10" s="155" t="str">
        <f t="shared" si="0"/>
        <v/>
      </c>
      <c r="D10" s="55"/>
      <c r="E10" s="216"/>
      <c r="F10" s="217"/>
      <c r="G10" s="51"/>
    </row>
    <row r="11" spans="1:7" s="52" customFormat="1" ht="15" thickBot="1" x14ac:dyDescent="0.35">
      <c r="A11" s="56"/>
      <c r="B11" s="56"/>
      <c r="C11" s="156" t="str">
        <f t="shared" si="0"/>
        <v/>
      </c>
      <c r="D11" s="57"/>
      <c r="E11" s="218"/>
      <c r="F11" s="219"/>
      <c r="G11" s="51"/>
    </row>
    <row r="12" spans="1:7" s="52" customFormat="1" ht="15" thickBot="1" x14ac:dyDescent="0.35">
      <c r="A12" s="163" t="s">
        <v>28</v>
      </c>
      <c r="B12" s="83">
        <f>SUM(B4:B11)</f>
        <v>21</v>
      </c>
      <c r="C12" s="163" t="str">
        <f xml:space="preserve"> setValueToTime(B12)</f>
        <v>1h45min</v>
      </c>
      <c r="D12" s="121"/>
      <c r="E12" s="220"/>
      <c r="F12" s="221"/>
      <c r="G12" s="51"/>
    </row>
    <row r="13" spans="1:7" s="59" customFormat="1" ht="15" thickBot="1" x14ac:dyDescent="0.35">
      <c r="A13" s="77"/>
      <c r="B13" s="77"/>
      <c r="C13" s="77"/>
      <c r="D13" s="77"/>
      <c r="E13" s="77"/>
      <c r="F13" s="77"/>
      <c r="G13" s="58"/>
    </row>
    <row r="14" spans="1:7" s="47" customFormat="1" ht="30" customHeight="1" thickBot="1" x14ac:dyDescent="0.3">
      <c r="A14" s="157" t="s">
        <v>11</v>
      </c>
      <c r="B14" s="165">
        <v>7</v>
      </c>
      <c r="C14" s="165"/>
      <c r="D14" s="158" t="s">
        <v>14</v>
      </c>
      <c r="E14" s="228">
        <v>45279</v>
      </c>
      <c r="F14" s="229"/>
      <c r="G14" s="46"/>
    </row>
    <row r="15" spans="1:7" s="47" customFormat="1" ht="30" customHeight="1" thickBot="1" x14ac:dyDescent="0.3">
      <c r="A15" s="78" t="s">
        <v>5</v>
      </c>
      <c r="B15" s="162" t="s">
        <v>41</v>
      </c>
      <c r="C15" s="161"/>
      <c r="D15" s="78" t="s">
        <v>12</v>
      </c>
      <c r="E15" s="222" t="s">
        <v>13</v>
      </c>
      <c r="F15" s="223"/>
      <c r="G15" s="46"/>
    </row>
    <row r="16" spans="1:7" s="52" customFormat="1" x14ac:dyDescent="0.3">
      <c r="A16" s="48" t="s">
        <v>15</v>
      </c>
      <c r="B16" s="49">
        <v>9</v>
      </c>
      <c r="C16" s="153" t="str">
        <f xml:space="preserve"> IF(B16="","",setValueToTime(B16))</f>
        <v>0h45min</v>
      </c>
      <c r="D16" s="166" t="s">
        <v>82</v>
      </c>
      <c r="E16" s="224"/>
      <c r="F16" s="225"/>
      <c r="G16" s="51"/>
    </row>
    <row r="17" spans="1:7" s="52" customFormat="1" x14ac:dyDescent="0.3">
      <c r="A17" s="53" t="s">
        <v>57</v>
      </c>
      <c r="B17" s="54">
        <v>4</v>
      </c>
      <c r="C17" s="154" t="str">
        <f t="shared" ref="C17:C23" si="1" xml:space="preserve"> IF(B17="","",setValueToTime(B17))</f>
        <v>0h20min</v>
      </c>
      <c r="D17" s="172" t="s">
        <v>83</v>
      </c>
      <c r="E17" s="216"/>
      <c r="F17" s="217"/>
      <c r="G17" s="51"/>
    </row>
    <row r="18" spans="1:7" s="52" customFormat="1" x14ac:dyDescent="0.3">
      <c r="A18" s="53" t="s">
        <v>57</v>
      </c>
      <c r="B18" s="54">
        <v>9</v>
      </c>
      <c r="C18" s="154" t="str">
        <f t="shared" si="1"/>
        <v>0h45min</v>
      </c>
      <c r="D18" s="172" t="s">
        <v>84</v>
      </c>
      <c r="E18" s="216"/>
      <c r="F18" s="217"/>
      <c r="G18" s="51"/>
    </row>
    <row r="19" spans="1:7" s="52" customFormat="1" ht="27" x14ac:dyDescent="0.3">
      <c r="A19" s="53" t="s">
        <v>50</v>
      </c>
      <c r="B19" s="54">
        <v>4</v>
      </c>
      <c r="C19" s="154" t="str">
        <f t="shared" si="1"/>
        <v>0h20min</v>
      </c>
      <c r="D19" s="172" t="s">
        <v>85</v>
      </c>
      <c r="E19" s="227" t="s">
        <v>86</v>
      </c>
      <c r="F19" s="217"/>
      <c r="G19" s="51"/>
    </row>
    <row r="20" spans="1:7" s="52" customFormat="1" ht="40.5" x14ac:dyDescent="0.3">
      <c r="A20" s="54" t="s">
        <v>57</v>
      </c>
      <c r="B20" s="54">
        <v>18</v>
      </c>
      <c r="C20" s="155" t="str">
        <f t="shared" si="1"/>
        <v>1h30min</v>
      </c>
      <c r="D20" s="172" t="s">
        <v>87</v>
      </c>
      <c r="E20" s="216"/>
      <c r="F20" s="217"/>
      <c r="G20" s="51"/>
    </row>
    <row r="21" spans="1:7" s="52" customFormat="1" x14ac:dyDescent="0.3">
      <c r="A21" s="54"/>
      <c r="B21" s="54"/>
      <c r="C21" s="155" t="str">
        <f t="shared" si="1"/>
        <v/>
      </c>
      <c r="D21" s="55"/>
      <c r="E21" s="216"/>
      <c r="F21" s="217"/>
      <c r="G21" s="51"/>
    </row>
    <row r="22" spans="1:7" s="52" customFormat="1" x14ac:dyDescent="0.3">
      <c r="A22" s="54"/>
      <c r="B22" s="54"/>
      <c r="C22" s="155" t="str">
        <f t="shared" si="1"/>
        <v/>
      </c>
      <c r="D22" s="55"/>
      <c r="E22" s="216"/>
      <c r="F22" s="217"/>
      <c r="G22" s="51"/>
    </row>
    <row r="23" spans="1:7" s="52" customFormat="1" ht="15" thickBot="1" x14ac:dyDescent="0.35">
      <c r="A23" s="56"/>
      <c r="B23" s="56"/>
      <c r="C23" s="156" t="str">
        <f t="shared" si="1"/>
        <v/>
      </c>
      <c r="D23" s="57"/>
      <c r="E23" s="218"/>
      <c r="F23" s="219"/>
      <c r="G23" s="51"/>
    </row>
    <row r="24" spans="1:7" s="52" customFormat="1" ht="15" thickBot="1" x14ac:dyDescent="0.35">
      <c r="A24" s="163" t="s">
        <v>28</v>
      </c>
      <c r="B24" s="83">
        <f>SUM(B16:B23)</f>
        <v>44</v>
      </c>
      <c r="C24" s="163" t="str">
        <f xml:space="preserve"> setValueToTime(B24)</f>
        <v>3h40min</v>
      </c>
      <c r="D24" s="121"/>
      <c r="E24" s="220"/>
      <c r="F24" s="221"/>
      <c r="G24" s="51"/>
    </row>
    <row r="25" spans="1:7" s="59" customFormat="1" ht="15" thickBot="1" x14ac:dyDescent="0.35">
      <c r="A25" s="77"/>
      <c r="B25" s="77"/>
      <c r="C25" s="77"/>
      <c r="D25" s="77"/>
      <c r="E25" s="77"/>
      <c r="F25" s="77"/>
      <c r="G25" s="58"/>
    </row>
    <row r="26" spans="1:7" s="47" customFormat="1" ht="30" customHeight="1" thickBot="1" x14ac:dyDescent="0.3">
      <c r="A26" s="157" t="s">
        <v>11</v>
      </c>
      <c r="B26" s="165">
        <v>6</v>
      </c>
      <c r="C26" s="165"/>
      <c r="D26" s="158" t="s">
        <v>14</v>
      </c>
      <c r="E26" s="228">
        <v>45272</v>
      </c>
      <c r="F26" s="229"/>
      <c r="G26" s="46"/>
    </row>
    <row r="27" spans="1:7" s="47" customFormat="1" ht="30" customHeight="1" thickBot="1" x14ac:dyDescent="0.3">
      <c r="A27" s="78" t="s">
        <v>5</v>
      </c>
      <c r="B27" s="162" t="s">
        <v>41</v>
      </c>
      <c r="C27" s="161"/>
      <c r="D27" s="78" t="s">
        <v>12</v>
      </c>
      <c r="E27" s="222" t="s">
        <v>13</v>
      </c>
      <c r="F27" s="223"/>
      <c r="G27" s="46"/>
    </row>
    <row r="28" spans="1:7" s="52" customFormat="1" ht="27" x14ac:dyDescent="0.3">
      <c r="A28" s="48" t="s">
        <v>50</v>
      </c>
      <c r="B28" s="49">
        <v>13</v>
      </c>
      <c r="C28" s="153" t="str">
        <f xml:space="preserve"> IF(B28="","",setValueToTime(B28))</f>
        <v>1h5min</v>
      </c>
      <c r="D28" s="166" t="s">
        <v>75</v>
      </c>
      <c r="E28" s="224"/>
      <c r="F28" s="225"/>
      <c r="G28" s="51"/>
    </row>
    <row r="29" spans="1:7" s="52" customFormat="1" x14ac:dyDescent="0.3">
      <c r="A29" s="53" t="s">
        <v>57</v>
      </c>
      <c r="B29" s="54">
        <v>3</v>
      </c>
      <c r="C29" s="154" t="str">
        <f t="shared" ref="C29:C35" si="2" xml:space="preserve"> IF(B29="","",setValueToTime(B29))</f>
        <v>0h15min</v>
      </c>
      <c r="D29" s="172" t="s">
        <v>76</v>
      </c>
      <c r="E29" s="216"/>
      <c r="F29" s="217"/>
      <c r="G29" s="51"/>
    </row>
    <row r="30" spans="1:7" s="52" customFormat="1" x14ac:dyDescent="0.3">
      <c r="A30" s="53" t="s">
        <v>57</v>
      </c>
      <c r="B30" s="54">
        <v>11</v>
      </c>
      <c r="C30" s="154" t="str">
        <f t="shared" si="2"/>
        <v>0h55min</v>
      </c>
      <c r="D30" s="172" t="s">
        <v>77</v>
      </c>
      <c r="E30" s="216"/>
      <c r="F30" s="217"/>
      <c r="G30" s="51"/>
    </row>
    <row r="31" spans="1:7" s="52" customFormat="1" x14ac:dyDescent="0.3">
      <c r="A31" s="53" t="s">
        <v>57</v>
      </c>
      <c r="B31" s="54">
        <v>4</v>
      </c>
      <c r="C31" s="154" t="str">
        <f t="shared" si="2"/>
        <v>0h20min</v>
      </c>
      <c r="D31" s="172" t="s">
        <v>78</v>
      </c>
      <c r="E31" s="216"/>
      <c r="F31" s="217"/>
      <c r="G31" s="51"/>
    </row>
    <row r="32" spans="1:7" s="52" customFormat="1" x14ac:dyDescent="0.3">
      <c r="A32" s="54" t="s">
        <v>57</v>
      </c>
      <c r="B32" s="54">
        <v>2</v>
      </c>
      <c r="C32" s="155" t="str">
        <f t="shared" si="2"/>
        <v>0h10min</v>
      </c>
      <c r="D32" s="172" t="s">
        <v>79</v>
      </c>
      <c r="E32" s="216"/>
      <c r="F32" s="217"/>
      <c r="G32" s="51"/>
    </row>
    <row r="33" spans="1:7" s="52" customFormat="1" x14ac:dyDescent="0.3">
      <c r="A33" s="54" t="s">
        <v>57</v>
      </c>
      <c r="B33" s="54">
        <v>4</v>
      </c>
      <c r="C33" s="155" t="str">
        <f t="shared" si="2"/>
        <v>0h20min</v>
      </c>
      <c r="D33" s="172" t="s">
        <v>80</v>
      </c>
      <c r="E33" s="216"/>
      <c r="F33" s="217"/>
      <c r="G33" s="51"/>
    </row>
    <row r="34" spans="1:7" s="52" customFormat="1" x14ac:dyDescent="0.3">
      <c r="A34" s="54" t="s">
        <v>57</v>
      </c>
      <c r="B34" s="54">
        <v>5</v>
      </c>
      <c r="C34" s="155" t="str">
        <f t="shared" si="2"/>
        <v>0h25min</v>
      </c>
      <c r="D34" s="172" t="s">
        <v>81</v>
      </c>
      <c r="E34" s="216"/>
      <c r="F34" s="217"/>
      <c r="G34" s="51"/>
    </row>
    <row r="35" spans="1:7" s="52" customFormat="1" ht="15" thickBot="1" x14ac:dyDescent="0.35">
      <c r="A35" s="56"/>
      <c r="B35" s="56"/>
      <c r="C35" s="156" t="str">
        <f t="shared" si="2"/>
        <v/>
      </c>
      <c r="D35" s="57"/>
      <c r="E35" s="218"/>
      <c r="F35" s="219"/>
      <c r="G35" s="51"/>
    </row>
    <row r="36" spans="1:7" s="52" customFormat="1" ht="15" thickBot="1" x14ac:dyDescent="0.35">
      <c r="A36" s="163" t="s">
        <v>28</v>
      </c>
      <c r="B36" s="83">
        <f>SUM(B28:B35)</f>
        <v>42</v>
      </c>
      <c r="C36" s="163" t="str">
        <f xml:space="preserve"> setValueToTime(B36)</f>
        <v>3h30min</v>
      </c>
      <c r="D36" s="121"/>
      <c r="E36" s="220"/>
      <c r="F36" s="221"/>
      <c r="G36" s="51"/>
    </row>
    <row r="37" spans="1:7" s="59" customFormat="1" ht="15" thickBot="1" x14ac:dyDescent="0.35">
      <c r="A37" s="77"/>
      <c r="B37" s="77"/>
      <c r="C37" s="77"/>
      <c r="D37" s="77"/>
      <c r="E37" s="77"/>
      <c r="F37" s="77"/>
      <c r="G37" s="58"/>
    </row>
    <row r="38" spans="1:7" s="47" customFormat="1" ht="30" customHeight="1" thickBot="1" x14ac:dyDescent="0.3">
      <c r="A38" s="157" t="s">
        <v>11</v>
      </c>
      <c r="B38" s="165">
        <v>5</v>
      </c>
      <c r="C38" s="165"/>
      <c r="D38" s="158" t="s">
        <v>14</v>
      </c>
      <c r="E38" s="228">
        <v>45265</v>
      </c>
      <c r="F38" s="229"/>
      <c r="G38" s="46"/>
    </row>
    <row r="39" spans="1:7" s="47" customFormat="1" ht="30" customHeight="1" thickBot="1" x14ac:dyDescent="0.3">
      <c r="A39" s="78" t="s">
        <v>5</v>
      </c>
      <c r="B39" s="162" t="s">
        <v>41</v>
      </c>
      <c r="C39" s="161"/>
      <c r="D39" s="78" t="s">
        <v>12</v>
      </c>
      <c r="E39" s="222" t="s">
        <v>13</v>
      </c>
      <c r="F39" s="223"/>
      <c r="G39" s="46"/>
    </row>
    <row r="40" spans="1:7" s="52" customFormat="1" ht="27" x14ac:dyDescent="0.3">
      <c r="A40" s="48" t="s">
        <v>57</v>
      </c>
      <c r="B40" s="49">
        <v>16</v>
      </c>
      <c r="C40" s="153" t="str">
        <f xml:space="preserve"> IF(B40="","",setValueToTime(B40))</f>
        <v>1h20min</v>
      </c>
      <c r="D40" s="166" t="s">
        <v>69</v>
      </c>
      <c r="E40" s="224"/>
      <c r="F40" s="225"/>
      <c r="G40" s="51"/>
    </row>
    <row r="41" spans="1:7" s="52" customFormat="1" x14ac:dyDescent="0.3">
      <c r="A41" s="53" t="s">
        <v>57</v>
      </c>
      <c r="B41" s="54">
        <v>2</v>
      </c>
      <c r="C41" s="154" t="str">
        <f t="shared" ref="C41:C47" si="3" xml:space="preserve"> IF(B41="","",setValueToTime(B41))</f>
        <v>0h10min</v>
      </c>
      <c r="D41" s="172" t="s">
        <v>70</v>
      </c>
      <c r="E41" s="216"/>
      <c r="F41" s="217"/>
      <c r="G41" s="51"/>
    </row>
    <row r="42" spans="1:7" s="52" customFormat="1" x14ac:dyDescent="0.3">
      <c r="A42" s="53" t="s">
        <v>57</v>
      </c>
      <c r="B42" s="54">
        <v>6</v>
      </c>
      <c r="C42" s="154" t="str">
        <f t="shared" si="3"/>
        <v>0h30min</v>
      </c>
      <c r="D42" s="172" t="s">
        <v>71</v>
      </c>
      <c r="E42" s="216"/>
      <c r="F42" s="217"/>
      <c r="G42" s="51"/>
    </row>
    <row r="43" spans="1:7" s="52" customFormat="1" ht="27" x14ac:dyDescent="0.3">
      <c r="A43" s="53" t="s">
        <v>50</v>
      </c>
      <c r="B43" s="54">
        <v>12</v>
      </c>
      <c r="C43" s="154" t="str">
        <f t="shared" si="3"/>
        <v>1h</v>
      </c>
      <c r="D43" s="172" t="s">
        <v>72</v>
      </c>
      <c r="E43" s="216"/>
      <c r="F43" s="217"/>
      <c r="G43" s="51"/>
    </row>
    <row r="44" spans="1:7" s="52" customFormat="1" ht="27" x14ac:dyDescent="0.3">
      <c r="A44" s="54" t="s">
        <v>57</v>
      </c>
      <c r="B44" s="54">
        <v>5</v>
      </c>
      <c r="C44" s="155" t="str">
        <f t="shared" si="3"/>
        <v>0h25min</v>
      </c>
      <c r="D44" s="172" t="s">
        <v>73</v>
      </c>
      <c r="E44" s="216"/>
      <c r="F44" s="217"/>
      <c r="G44" s="51"/>
    </row>
    <row r="45" spans="1:7" s="52" customFormat="1" x14ac:dyDescent="0.3">
      <c r="A45" s="54" t="s">
        <v>57</v>
      </c>
      <c r="B45" s="54">
        <v>6</v>
      </c>
      <c r="C45" s="155" t="str">
        <f t="shared" si="3"/>
        <v>0h30min</v>
      </c>
      <c r="D45" s="172" t="s">
        <v>74</v>
      </c>
      <c r="E45" s="216"/>
      <c r="F45" s="217"/>
      <c r="G45" s="51"/>
    </row>
    <row r="46" spans="1:7" s="52" customFormat="1" x14ac:dyDescent="0.3">
      <c r="A46" s="54"/>
      <c r="B46" s="54"/>
      <c r="C46" s="155" t="str">
        <f t="shared" si="3"/>
        <v/>
      </c>
      <c r="D46" s="55"/>
      <c r="E46" s="216"/>
      <c r="F46" s="217"/>
      <c r="G46" s="51"/>
    </row>
    <row r="47" spans="1:7" s="52" customFormat="1" ht="15" thickBot="1" x14ac:dyDescent="0.35">
      <c r="A47" s="56"/>
      <c r="B47" s="56"/>
      <c r="C47" s="156" t="str">
        <f t="shared" si="3"/>
        <v/>
      </c>
      <c r="D47" s="57"/>
      <c r="E47" s="218"/>
      <c r="F47" s="219"/>
      <c r="G47" s="51"/>
    </row>
    <row r="48" spans="1:7" s="52" customFormat="1" ht="15" thickBot="1" x14ac:dyDescent="0.35">
      <c r="A48" s="163" t="s">
        <v>28</v>
      </c>
      <c r="B48" s="83">
        <f>SUM(B40:B47)</f>
        <v>47</v>
      </c>
      <c r="C48" s="163" t="str">
        <f xml:space="preserve"> setValueToTime(B48)</f>
        <v>3h55min</v>
      </c>
      <c r="D48" s="121"/>
      <c r="E48" s="220"/>
      <c r="F48" s="221"/>
      <c r="G48" s="51"/>
    </row>
    <row r="49" spans="1:7" s="59" customFormat="1" ht="15" thickBot="1" x14ac:dyDescent="0.35">
      <c r="A49" s="77"/>
      <c r="B49" s="77"/>
      <c r="C49" s="77"/>
      <c r="D49" s="77"/>
      <c r="E49" s="77"/>
      <c r="F49" s="77"/>
      <c r="G49" s="58"/>
    </row>
    <row r="50" spans="1:7" s="47" customFormat="1" ht="30" customHeight="1" thickBot="1" x14ac:dyDescent="0.3">
      <c r="A50" s="157" t="s">
        <v>11</v>
      </c>
      <c r="B50" s="165">
        <v>4</v>
      </c>
      <c r="C50" s="165"/>
      <c r="D50" s="158" t="s">
        <v>14</v>
      </c>
      <c r="E50" s="228">
        <v>45258</v>
      </c>
      <c r="F50" s="229"/>
      <c r="G50" s="46"/>
    </row>
    <row r="51" spans="1:7" s="47" customFormat="1" ht="30" customHeight="1" thickBot="1" x14ac:dyDescent="0.3">
      <c r="A51" s="78" t="s">
        <v>5</v>
      </c>
      <c r="B51" s="162" t="s">
        <v>41</v>
      </c>
      <c r="C51" s="161"/>
      <c r="D51" s="78" t="s">
        <v>12</v>
      </c>
      <c r="E51" s="222" t="s">
        <v>13</v>
      </c>
      <c r="F51" s="223"/>
      <c r="G51" s="46"/>
    </row>
    <row r="52" spans="1:7" s="52" customFormat="1" x14ac:dyDescent="0.3">
      <c r="A52" s="48" t="s">
        <v>57</v>
      </c>
      <c r="B52" s="49">
        <v>2</v>
      </c>
      <c r="C52" s="153" t="str">
        <f xml:space="preserve"> IF(B52="","",setValueToTime(B52))</f>
        <v>0h10min</v>
      </c>
      <c r="D52" s="166" t="s">
        <v>64</v>
      </c>
      <c r="E52" s="224"/>
      <c r="F52" s="225"/>
      <c r="G52" s="51"/>
    </row>
    <row r="53" spans="1:7" s="52" customFormat="1" ht="54" x14ac:dyDescent="0.3">
      <c r="A53" s="53" t="s">
        <v>57</v>
      </c>
      <c r="B53" s="54">
        <v>8</v>
      </c>
      <c r="C53" s="154" t="str">
        <f t="shared" ref="C53:C59" si="4" xml:space="preserve"> IF(B53="","",setValueToTime(B53))</f>
        <v>0h40min</v>
      </c>
      <c r="D53" s="172" t="s">
        <v>65</v>
      </c>
      <c r="E53" s="216"/>
      <c r="F53" s="217"/>
      <c r="G53" s="51"/>
    </row>
    <row r="54" spans="1:7" s="52" customFormat="1" x14ac:dyDescent="0.3">
      <c r="A54" s="53" t="s">
        <v>57</v>
      </c>
      <c r="B54" s="54">
        <v>13</v>
      </c>
      <c r="C54" s="154" t="str">
        <f t="shared" si="4"/>
        <v>1h5min</v>
      </c>
      <c r="D54" s="172" t="s">
        <v>66</v>
      </c>
      <c r="E54" s="216"/>
      <c r="F54" s="217"/>
      <c r="G54" s="51"/>
    </row>
    <row r="55" spans="1:7" s="52" customFormat="1" x14ac:dyDescent="0.3">
      <c r="A55" s="53" t="s">
        <v>57</v>
      </c>
      <c r="B55" s="54">
        <v>1</v>
      </c>
      <c r="C55" s="154" t="str">
        <f t="shared" si="4"/>
        <v>0h5min</v>
      </c>
      <c r="D55" s="172" t="s">
        <v>67</v>
      </c>
      <c r="E55" s="216"/>
      <c r="F55" s="217"/>
      <c r="G55" s="51"/>
    </row>
    <row r="56" spans="1:7" s="52" customFormat="1" x14ac:dyDescent="0.3">
      <c r="A56" s="54" t="s">
        <v>57</v>
      </c>
      <c r="B56" s="54">
        <v>11</v>
      </c>
      <c r="C56" s="155" t="str">
        <f t="shared" si="4"/>
        <v>0h55min</v>
      </c>
      <c r="D56" s="172" t="s">
        <v>68</v>
      </c>
      <c r="E56" s="216"/>
      <c r="F56" s="217"/>
      <c r="G56" s="51"/>
    </row>
    <row r="57" spans="1:7" s="52" customFormat="1" x14ac:dyDescent="0.3">
      <c r="A57" s="54"/>
      <c r="B57" s="54"/>
      <c r="C57" s="155" t="str">
        <f t="shared" si="4"/>
        <v/>
      </c>
      <c r="D57" s="55"/>
      <c r="E57" s="216"/>
      <c r="F57" s="217"/>
      <c r="G57" s="51"/>
    </row>
    <row r="58" spans="1:7" s="52" customFormat="1" x14ac:dyDescent="0.3">
      <c r="A58" s="54"/>
      <c r="B58" s="54"/>
      <c r="C58" s="155" t="str">
        <f t="shared" si="4"/>
        <v/>
      </c>
      <c r="D58" s="55"/>
      <c r="E58" s="216"/>
      <c r="F58" s="217"/>
      <c r="G58" s="51"/>
    </row>
    <row r="59" spans="1:7" s="52" customFormat="1" ht="15" thickBot="1" x14ac:dyDescent="0.35">
      <c r="A59" s="56"/>
      <c r="B59" s="56"/>
      <c r="C59" s="156" t="str">
        <f t="shared" si="4"/>
        <v/>
      </c>
      <c r="D59" s="57"/>
      <c r="E59" s="218"/>
      <c r="F59" s="219"/>
      <c r="G59" s="51"/>
    </row>
    <row r="60" spans="1:7" s="52" customFormat="1" ht="15" thickBot="1" x14ac:dyDescent="0.35">
      <c r="A60" s="163" t="s">
        <v>28</v>
      </c>
      <c r="B60" s="83">
        <f>SUM(B52:B59)</f>
        <v>35</v>
      </c>
      <c r="C60" s="163" t="str">
        <f xml:space="preserve"> setValueToTime(B60)</f>
        <v>2h55min</v>
      </c>
      <c r="D60" s="121"/>
      <c r="E60" s="220"/>
      <c r="F60" s="221"/>
      <c r="G60" s="51"/>
    </row>
    <row r="61" spans="1:7" s="59" customFormat="1" ht="15" thickBot="1" x14ac:dyDescent="0.35">
      <c r="A61" s="77"/>
      <c r="B61" s="77"/>
      <c r="C61" s="77"/>
      <c r="D61" s="77"/>
      <c r="E61" s="77"/>
      <c r="F61" s="77"/>
      <c r="G61" s="58"/>
    </row>
    <row r="62" spans="1:7" s="47" customFormat="1" ht="30" customHeight="1" thickBot="1" x14ac:dyDescent="0.3">
      <c r="A62" s="157" t="s">
        <v>11</v>
      </c>
      <c r="B62" s="165">
        <v>3</v>
      </c>
      <c r="C62" s="165"/>
      <c r="D62" s="158" t="s">
        <v>14</v>
      </c>
      <c r="E62" s="228">
        <v>45251</v>
      </c>
      <c r="F62" s="229"/>
      <c r="G62" s="46"/>
    </row>
    <row r="63" spans="1:7" s="47" customFormat="1" ht="30" customHeight="1" thickBot="1" x14ac:dyDescent="0.3">
      <c r="A63" s="78" t="s">
        <v>5</v>
      </c>
      <c r="B63" s="162" t="s">
        <v>41</v>
      </c>
      <c r="C63" s="161"/>
      <c r="D63" s="78" t="s">
        <v>12</v>
      </c>
      <c r="E63" s="222" t="s">
        <v>13</v>
      </c>
      <c r="F63" s="223"/>
      <c r="G63" s="46"/>
    </row>
    <row r="64" spans="1:7" s="52" customFormat="1" ht="27" x14ac:dyDescent="0.3">
      <c r="A64" s="48" t="s">
        <v>57</v>
      </c>
      <c r="B64" s="49">
        <v>10</v>
      </c>
      <c r="C64" s="153" t="str">
        <f xml:space="preserve"> IF(B64="","",setValueToTime(B64))</f>
        <v>0h50min</v>
      </c>
      <c r="D64" s="166" t="s">
        <v>63</v>
      </c>
      <c r="E64" s="224"/>
      <c r="F64" s="225"/>
      <c r="G64" s="51"/>
    </row>
    <row r="65" spans="1:7" s="52" customFormat="1" x14ac:dyDescent="0.3">
      <c r="A65" s="53" t="s">
        <v>57</v>
      </c>
      <c r="B65" s="54">
        <v>6</v>
      </c>
      <c r="C65" s="154" t="str">
        <f t="shared" ref="C65:C71" si="5" xml:space="preserve"> IF(B65="","",setValueToTime(B65))</f>
        <v>0h30min</v>
      </c>
      <c r="D65" s="172" t="s">
        <v>62</v>
      </c>
      <c r="E65" s="216"/>
      <c r="F65" s="217"/>
      <c r="G65" s="51"/>
    </row>
    <row r="66" spans="1:7" s="52" customFormat="1" x14ac:dyDescent="0.3">
      <c r="A66" s="53" t="s">
        <v>57</v>
      </c>
      <c r="B66" s="54">
        <v>36</v>
      </c>
      <c r="C66" s="154" t="str">
        <f t="shared" si="5"/>
        <v>3h</v>
      </c>
      <c r="D66" s="172" t="s">
        <v>61</v>
      </c>
      <c r="E66" s="216"/>
      <c r="F66" s="217"/>
      <c r="G66" s="51"/>
    </row>
    <row r="67" spans="1:7" s="52" customFormat="1" x14ac:dyDescent="0.3">
      <c r="A67" s="53"/>
      <c r="B67" s="54"/>
      <c r="C67" s="154" t="str">
        <f t="shared" si="5"/>
        <v/>
      </c>
      <c r="D67" s="55"/>
      <c r="E67" s="216"/>
      <c r="F67" s="217"/>
      <c r="G67" s="51"/>
    </row>
    <row r="68" spans="1:7" s="52" customFormat="1" x14ac:dyDescent="0.3">
      <c r="A68" s="54"/>
      <c r="B68" s="54"/>
      <c r="C68" s="155" t="str">
        <f t="shared" si="5"/>
        <v/>
      </c>
      <c r="D68" s="55"/>
      <c r="E68" s="216"/>
      <c r="F68" s="217"/>
      <c r="G68" s="51"/>
    </row>
    <row r="69" spans="1:7" s="52" customFormat="1" x14ac:dyDescent="0.3">
      <c r="A69" s="54"/>
      <c r="B69" s="54"/>
      <c r="C69" s="155" t="str">
        <f t="shared" si="5"/>
        <v/>
      </c>
      <c r="D69" s="55"/>
      <c r="E69" s="216"/>
      <c r="F69" s="217"/>
      <c r="G69" s="51"/>
    </row>
    <row r="70" spans="1:7" s="52" customFormat="1" x14ac:dyDescent="0.3">
      <c r="A70" s="54"/>
      <c r="B70" s="54"/>
      <c r="C70" s="155" t="str">
        <f t="shared" si="5"/>
        <v/>
      </c>
      <c r="D70" s="55"/>
      <c r="E70" s="216"/>
      <c r="F70" s="217"/>
      <c r="G70" s="51"/>
    </row>
    <row r="71" spans="1:7" s="52" customFormat="1" ht="15" thickBot="1" x14ac:dyDescent="0.35">
      <c r="A71" s="56"/>
      <c r="B71" s="56"/>
      <c r="C71" s="156" t="str">
        <f t="shared" si="5"/>
        <v/>
      </c>
      <c r="D71" s="57"/>
      <c r="E71" s="218"/>
      <c r="F71" s="219"/>
      <c r="G71" s="51"/>
    </row>
    <row r="72" spans="1:7" s="52" customFormat="1" ht="15" thickBot="1" x14ac:dyDescent="0.35">
      <c r="A72" s="163" t="s">
        <v>28</v>
      </c>
      <c r="B72" s="83">
        <f>SUM(B64:B71)</f>
        <v>52</v>
      </c>
      <c r="C72" s="163" t="str">
        <f xml:space="preserve"> setValueToTime(B72)</f>
        <v>4h20min</v>
      </c>
      <c r="D72" s="121"/>
      <c r="E72" s="220"/>
      <c r="F72" s="221"/>
      <c r="G72" s="51"/>
    </row>
    <row r="73" spans="1:7" s="59" customFormat="1" ht="15" thickBot="1" x14ac:dyDescent="0.35">
      <c r="A73" s="77"/>
      <c r="B73" s="77"/>
      <c r="C73" s="77"/>
      <c r="D73" s="77"/>
      <c r="E73" s="77"/>
      <c r="F73" s="77"/>
      <c r="G73" s="58"/>
    </row>
    <row r="74" spans="1:7" s="47" customFormat="1" ht="30" customHeight="1" thickBot="1" x14ac:dyDescent="0.3">
      <c r="A74" s="157" t="s">
        <v>11</v>
      </c>
      <c r="B74" s="165">
        <v>2</v>
      </c>
      <c r="C74" s="165"/>
      <c r="D74" s="158" t="s">
        <v>14</v>
      </c>
      <c r="E74" s="228">
        <v>45244</v>
      </c>
      <c r="F74" s="229"/>
      <c r="G74" s="46"/>
    </row>
    <row r="75" spans="1:7" s="47" customFormat="1" ht="30" customHeight="1" thickBot="1" x14ac:dyDescent="0.3">
      <c r="A75" s="78" t="s">
        <v>5</v>
      </c>
      <c r="B75" s="162" t="s">
        <v>41</v>
      </c>
      <c r="C75" s="161"/>
      <c r="D75" s="78" t="s">
        <v>12</v>
      </c>
      <c r="E75" s="222" t="s">
        <v>13</v>
      </c>
      <c r="F75" s="223"/>
      <c r="G75" s="46"/>
    </row>
    <row r="76" spans="1:7" s="52" customFormat="1" ht="27" x14ac:dyDescent="0.3">
      <c r="A76" s="48" t="s">
        <v>50</v>
      </c>
      <c r="B76" s="49">
        <v>6</v>
      </c>
      <c r="C76" s="153" t="str">
        <f xml:space="preserve"> IF(B76="","",setValueToTime(B76))</f>
        <v>0h30min</v>
      </c>
      <c r="D76" s="166" t="s">
        <v>56</v>
      </c>
      <c r="E76" s="226" t="s">
        <v>54</v>
      </c>
      <c r="F76" s="225"/>
      <c r="G76" s="51"/>
    </row>
    <row r="77" spans="1:7" s="52" customFormat="1" ht="40.5" x14ac:dyDescent="0.3">
      <c r="A77" s="53" t="s">
        <v>57</v>
      </c>
      <c r="B77" s="54">
        <v>3</v>
      </c>
      <c r="C77" s="154" t="str">
        <f t="shared" ref="C77:C83" si="6" xml:space="preserve"> IF(B77="","",setValueToTime(B77))</f>
        <v>0h15min</v>
      </c>
      <c r="D77" s="172" t="s">
        <v>58</v>
      </c>
      <c r="E77" s="216"/>
      <c r="F77" s="217"/>
      <c r="G77" s="51"/>
    </row>
    <row r="78" spans="1:7" s="52" customFormat="1" x14ac:dyDescent="0.3">
      <c r="A78" s="53" t="s">
        <v>15</v>
      </c>
      <c r="B78" s="54">
        <v>11</v>
      </c>
      <c r="C78" s="154" t="str">
        <f t="shared" si="6"/>
        <v>0h55min</v>
      </c>
      <c r="D78" s="172" t="s">
        <v>59</v>
      </c>
      <c r="E78" s="227" t="s">
        <v>54</v>
      </c>
      <c r="F78" s="217"/>
      <c r="G78" s="51"/>
    </row>
    <row r="79" spans="1:7" s="52" customFormat="1" x14ac:dyDescent="0.3">
      <c r="A79" s="53" t="s">
        <v>57</v>
      </c>
      <c r="B79" s="54">
        <v>29</v>
      </c>
      <c r="C79" s="154" t="str">
        <f t="shared" si="6"/>
        <v>2h25min</v>
      </c>
      <c r="D79" s="172" t="s">
        <v>60</v>
      </c>
      <c r="E79" s="216"/>
      <c r="F79" s="217"/>
      <c r="G79" s="51"/>
    </row>
    <row r="80" spans="1:7" s="52" customFormat="1" x14ac:dyDescent="0.3">
      <c r="A80" s="54"/>
      <c r="B80" s="54"/>
      <c r="C80" s="155" t="str">
        <f t="shared" si="6"/>
        <v/>
      </c>
      <c r="D80" s="55"/>
      <c r="E80" s="216"/>
      <c r="F80" s="217"/>
      <c r="G80" s="51"/>
    </row>
    <row r="81" spans="1:7" s="52" customFormat="1" x14ac:dyDescent="0.3">
      <c r="A81" s="54"/>
      <c r="B81" s="54"/>
      <c r="C81" s="155" t="str">
        <f t="shared" si="6"/>
        <v/>
      </c>
      <c r="D81" s="55"/>
      <c r="E81" s="216"/>
      <c r="F81" s="217"/>
      <c r="G81" s="51"/>
    </row>
    <row r="82" spans="1:7" s="52" customFormat="1" x14ac:dyDescent="0.3">
      <c r="A82" s="54"/>
      <c r="B82" s="54"/>
      <c r="C82" s="155" t="str">
        <f t="shared" si="6"/>
        <v/>
      </c>
      <c r="D82" s="55"/>
      <c r="E82" s="216"/>
      <c r="F82" s="217"/>
      <c r="G82" s="51"/>
    </row>
    <row r="83" spans="1:7" s="52" customFormat="1" ht="15" thickBot="1" x14ac:dyDescent="0.35">
      <c r="A83" s="56"/>
      <c r="B83" s="56"/>
      <c r="C83" s="156" t="str">
        <f t="shared" si="6"/>
        <v/>
      </c>
      <c r="D83" s="57"/>
      <c r="E83" s="218"/>
      <c r="F83" s="219"/>
      <c r="G83" s="51"/>
    </row>
    <row r="84" spans="1:7" s="52" customFormat="1" ht="15" thickBot="1" x14ac:dyDescent="0.35">
      <c r="A84" s="163" t="s">
        <v>28</v>
      </c>
      <c r="B84" s="83">
        <f>SUM(B76:B83)</f>
        <v>49</v>
      </c>
      <c r="C84" s="163" t="str">
        <f xml:space="preserve"> setValueToTime(B84)</f>
        <v>4h5min</v>
      </c>
      <c r="D84" s="121"/>
      <c r="E84" s="220"/>
      <c r="F84" s="221"/>
      <c r="G84" s="51"/>
    </row>
    <row r="85" spans="1:7" s="59" customFormat="1" ht="15" thickBot="1" x14ac:dyDescent="0.35">
      <c r="A85" s="77"/>
      <c r="B85" s="77"/>
      <c r="C85" s="77"/>
      <c r="D85" s="77"/>
      <c r="E85" s="77"/>
      <c r="F85" s="77"/>
      <c r="G85" s="58"/>
    </row>
    <row r="86" spans="1:7" s="47" customFormat="1" ht="30" customHeight="1" thickBot="1" x14ac:dyDescent="0.3">
      <c r="A86" s="157" t="s">
        <v>11</v>
      </c>
      <c r="B86" s="165">
        <v>1</v>
      </c>
      <c r="C86" s="165"/>
      <c r="D86" s="158" t="s">
        <v>14</v>
      </c>
      <c r="E86" s="228">
        <v>45237</v>
      </c>
      <c r="F86" s="229"/>
      <c r="G86" s="46"/>
    </row>
    <row r="87" spans="1:7" s="47" customFormat="1" ht="30" customHeight="1" thickBot="1" x14ac:dyDescent="0.3">
      <c r="A87" s="78" t="s">
        <v>5</v>
      </c>
      <c r="B87" s="162" t="s">
        <v>41</v>
      </c>
      <c r="C87" s="161"/>
      <c r="D87" s="78" t="s">
        <v>12</v>
      </c>
      <c r="E87" s="222" t="s">
        <v>13</v>
      </c>
      <c r="F87" s="223"/>
      <c r="G87" s="46"/>
    </row>
    <row r="88" spans="1:7" s="52" customFormat="1" x14ac:dyDescent="0.3">
      <c r="A88" s="48" t="s">
        <v>49</v>
      </c>
      <c r="B88" s="49">
        <v>13</v>
      </c>
      <c r="C88" s="153" t="str">
        <f xml:space="preserve"> IF(B88="","",setValueToTime(B88))</f>
        <v>1h5min</v>
      </c>
      <c r="D88" s="166" t="s">
        <v>51</v>
      </c>
      <c r="E88" s="224"/>
      <c r="F88" s="225"/>
      <c r="G88" s="51"/>
    </row>
    <row r="89" spans="1:7" s="52" customFormat="1" ht="27" x14ac:dyDescent="0.3">
      <c r="A89" s="53" t="s">
        <v>15</v>
      </c>
      <c r="B89" s="54">
        <v>38</v>
      </c>
      <c r="C89" s="154" t="str">
        <f t="shared" ref="C89:C95" si="7" xml:space="preserve"> IF(B89="","",setValueToTime(B89))</f>
        <v>3h10min</v>
      </c>
      <c r="D89" s="172" t="s">
        <v>55</v>
      </c>
      <c r="E89" s="227" t="s">
        <v>54</v>
      </c>
      <c r="F89" s="217"/>
      <c r="G89" s="51"/>
    </row>
    <row r="90" spans="1:7" s="52" customFormat="1" x14ac:dyDescent="0.3">
      <c r="A90" s="53"/>
      <c r="B90" s="54"/>
      <c r="C90" s="154" t="str">
        <f t="shared" si="7"/>
        <v/>
      </c>
      <c r="D90" s="55"/>
      <c r="E90" s="216"/>
      <c r="F90" s="217"/>
      <c r="G90" s="51"/>
    </row>
    <row r="91" spans="1:7" s="52" customFormat="1" x14ac:dyDescent="0.3">
      <c r="A91" s="53"/>
      <c r="B91" s="54"/>
      <c r="C91" s="154" t="str">
        <f t="shared" si="7"/>
        <v/>
      </c>
      <c r="D91" s="55"/>
      <c r="E91" s="216"/>
      <c r="F91" s="217"/>
      <c r="G91" s="51"/>
    </row>
    <row r="92" spans="1:7" s="52" customFormat="1" x14ac:dyDescent="0.3">
      <c r="A92" s="54"/>
      <c r="B92" s="54"/>
      <c r="C92" s="155" t="str">
        <f t="shared" si="7"/>
        <v/>
      </c>
      <c r="D92" s="55"/>
      <c r="E92" s="216"/>
      <c r="F92" s="217"/>
      <c r="G92" s="51"/>
    </row>
    <row r="93" spans="1:7" s="52" customFormat="1" x14ac:dyDescent="0.3">
      <c r="A93" s="54"/>
      <c r="B93" s="54"/>
      <c r="C93" s="155" t="str">
        <f t="shared" si="7"/>
        <v/>
      </c>
      <c r="D93" s="55"/>
      <c r="E93" s="216"/>
      <c r="F93" s="217"/>
      <c r="G93" s="51"/>
    </row>
    <row r="94" spans="1:7" s="52" customFormat="1" x14ac:dyDescent="0.3">
      <c r="A94" s="54"/>
      <c r="B94" s="54"/>
      <c r="C94" s="155" t="str">
        <f t="shared" si="7"/>
        <v/>
      </c>
      <c r="D94" s="55"/>
      <c r="E94" s="216"/>
      <c r="F94" s="217"/>
      <c r="G94" s="51"/>
    </row>
    <row r="95" spans="1:7" s="52" customFormat="1" ht="15" thickBot="1" x14ac:dyDescent="0.35">
      <c r="A95" s="56"/>
      <c r="B95" s="56"/>
      <c r="C95" s="156" t="str">
        <f t="shared" si="7"/>
        <v/>
      </c>
      <c r="D95" s="57"/>
      <c r="E95" s="218"/>
      <c r="F95" s="219"/>
      <c r="G95" s="51"/>
    </row>
    <row r="96" spans="1:7" s="52" customFormat="1" ht="15" thickBot="1" x14ac:dyDescent="0.35">
      <c r="A96" s="163" t="s">
        <v>28</v>
      </c>
      <c r="B96" s="83">
        <f>SUM(B88:B95)</f>
        <v>51</v>
      </c>
      <c r="C96" s="163" t="str">
        <f xml:space="preserve"> setValueToTime(B96)</f>
        <v>4h15min</v>
      </c>
      <c r="D96" s="121"/>
      <c r="E96" s="220"/>
      <c r="F96" s="221"/>
      <c r="G96" s="51"/>
    </row>
    <row r="97" spans="1:7" s="59" customFormat="1" x14ac:dyDescent="0.3">
      <c r="A97" s="77"/>
      <c r="B97" s="77"/>
      <c r="C97" s="77"/>
      <c r="D97" s="77"/>
      <c r="E97" s="77"/>
      <c r="F97" s="77"/>
      <c r="G97" s="58"/>
    </row>
  </sheetData>
  <sheetProtection formatRows="0" insertRows="0" insertHyperlinks="0" deleteRows="0" selectLockedCells="1"/>
  <mergeCells count="88">
    <mergeCell ref="E62:F62"/>
    <mergeCell ref="E74:F74"/>
    <mergeCell ref="E14:F14"/>
    <mergeCell ref="E2:F2"/>
    <mergeCell ref="E26:F26"/>
    <mergeCell ref="E38:F38"/>
    <mergeCell ref="E50:F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93:F93"/>
    <mergeCell ref="E94:F94"/>
    <mergeCell ref="E95:F95"/>
    <mergeCell ref="E96:F96"/>
    <mergeCell ref="E86:F8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27:F27"/>
    <mergeCell ref="E28:F28"/>
    <mergeCell ref="E29:F29"/>
    <mergeCell ref="E30:F30"/>
    <mergeCell ref="E31:F31"/>
    <mergeCell ref="E32:F32"/>
    <mergeCell ref="E33:F33"/>
    <mergeCell ref="E34:F34"/>
    <mergeCell ref="E35:F35"/>
    <mergeCell ref="E36:F36"/>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formula1>0</formula1>
      <formula2>60</formula2>
    </dataValidation>
    <dataValidation type="list" allowBlank="1" showInputMessage="1" showErrorMessage="1" sqref="A88:A95 A76:A83 A64:A71 A52:A59 A40:A47 A28:A35 A16:A23 A4:A11">
      <formula1>ListeTaches</formula1>
    </dataValidation>
  </dataValidations>
  <hyperlinks>
    <hyperlink ref="E89" r:id="rId1"/>
    <hyperlink ref="E76" r:id="rId2"/>
    <hyperlink ref="E78" r:id="rId3"/>
    <hyperlink ref="E19"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87" t="s">
        <v>11</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90"/>
    </row>
    <row r="14" spans="1:61" ht="15.75" thickBot="1" x14ac:dyDescent="0.35">
      <c r="A14" s="103"/>
      <c r="B14" s="104"/>
      <c r="C14" s="104"/>
      <c r="D14" s="104"/>
      <c r="E14" s="190" t="s">
        <v>35</v>
      </c>
      <c r="F14" s="190"/>
      <c r="G14" s="190"/>
      <c r="H14" s="190"/>
      <c r="I14" s="104"/>
      <c r="J14" s="104"/>
      <c r="K14" s="191" t="s">
        <v>23</v>
      </c>
      <c r="L14" s="191"/>
      <c r="M14" s="191"/>
      <c r="N14" s="191"/>
      <c r="O14" s="129"/>
      <c r="P14" s="129"/>
      <c r="Q14" s="190" t="s">
        <v>36</v>
      </c>
      <c r="R14" s="190"/>
      <c r="S14" s="190"/>
      <c r="T14" s="190"/>
      <c r="U14" s="104"/>
      <c r="V14" s="104"/>
      <c r="W14" s="191" t="s">
        <v>24</v>
      </c>
      <c r="X14" s="191"/>
      <c r="Y14" s="191"/>
      <c r="Z14" s="191"/>
      <c r="AA14" s="129"/>
      <c r="AB14" s="129"/>
      <c r="AC14" s="190" t="s">
        <v>37</v>
      </c>
      <c r="AD14" s="190"/>
      <c r="AE14" s="190"/>
      <c r="AF14" s="190"/>
      <c r="AG14" s="104"/>
      <c r="AH14" s="104"/>
      <c r="AI14" s="191" t="s">
        <v>25</v>
      </c>
      <c r="AJ14" s="191"/>
      <c r="AK14" s="191"/>
      <c r="AL14" s="191"/>
      <c r="AM14" s="129"/>
      <c r="AN14" s="129"/>
      <c r="AO14" s="190" t="s">
        <v>38</v>
      </c>
      <c r="AP14" s="190"/>
      <c r="AQ14" s="190"/>
      <c r="AR14" s="190"/>
      <c r="AS14" s="104"/>
      <c r="AT14" s="104"/>
      <c r="AU14" s="191" t="s">
        <v>26</v>
      </c>
      <c r="AV14" s="191"/>
      <c r="AW14" s="191"/>
      <c r="AX14" s="191"/>
      <c r="AY14" s="129"/>
      <c r="AZ14" s="129"/>
      <c r="BA14" s="190" t="s">
        <v>39</v>
      </c>
      <c r="BB14" s="190"/>
      <c r="BC14" s="190"/>
      <c r="BD14" s="19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2" t="s">
        <v>13</v>
      </c>
      <c r="F2" s="233"/>
      <c r="G2" s="46"/>
    </row>
    <row r="3" spans="1:7" s="52" customFormat="1" x14ac:dyDescent="0.3">
      <c r="A3" s="48"/>
      <c r="B3" s="49"/>
      <c r="C3" s="153" t="str">
        <f xml:space="preserve"> IF(B3="","",setValueToTime(B3))</f>
        <v/>
      </c>
      <c r="D3" s="50"/>
      <c r="E3" s="224"/>
      <c r="F3" s="225"/>
      <c r="G3" s="51"/>
    </row>
    <row r="4" spans="1:7" s="52" customFormat="1" x14ac:dyDescent="0.3">
      <c r="A4" s="53"/>
      <c r="B4" s="54"/>
      <c r="C4" s="154" t="str">
        <f t="shared" ref="C4:C10" si="0" xml:space="preserve"> IF(B4="","",setValueToTime(B4))</f>
        <v/>
      </c>
      <c r="D4" s="55"/>
      <c r="E4" s="216"/>
      <c r="F4" s="217"/>
      <c r="G4" s="51"/>
    </row>
    <row r="5" spans="1:7" s="52" customFormat="1" x14ac:dyDescent="0.3">
      <c r="A5" s="53"/>
      <c r="B5" s="54"/>
      <c r="C5" s="154" t="str">
        <f t="shared" si="0"/>
        <v/>
      </c>
      <c r="D5" s="55"/>
      <c r="E5" s="216"/>
      <c r="F5" s="217"/>
      <c r="G5" s="51"/>
    </row>
    <row r="6" spans="1:7" s="52" customFormat="1" x14ac:dyDescent="0.3">
      <c r="A6" s="53"/>
      <c r="B6" s="54"/>
      <c r="C6" s="154" t="str">
        <f t="shared" si="0"/>
        <v/>
      </c>
      <c r="D6" s="55"/>
      <c r="E6" s="216"/>
      <c r="F6" s="217"/>
      <c r="G6" s="51"/>
    </row>
    <row r="7" spans="1:7" s="52" customFormat="1" x14ac:dyDescent="0.3">
      <c r="A7" s="54"/>
      <c r="B7" s="54"/>
      <c r="C7" s="155" t="str">
        <f t="shared" si="0"/>
        <v/>
      </c>
      <c r="D7" s="55"/>
      <c r="E7" s="216"/>
      <c r="F7" s="217"/>
      <c r="G7" s="51"/>
    </row>
    <row r="8" spans="1:7" s="52" customFormat="1" x14ac:dyDescent="0.3">
      <c r="A8" s="54"/>
      <c r="B8" s="54"/>
      <c r="C8" s="155" t="str">
        <f t="shared" si="0"/>
        <v/>
      </c>
      <c r="D8" s="55"/>
      <c r="E8" s="216"/>
      <c r="F8" s="217"/>
      <c r="G8" s="51"/>
    </row>
    <row r="9" spans="1:7" s="52" customFormat="1" x14ac:dyDescent="0.3">
      <c r="A9" s="54"/>
      <c r="B9" s="54"/>
      <c r="C9" s="155" t="str">
        <f t="shared" si="0"/>
        <v/>
      </c>
      <c r="D9" s="55"/>
      <c r="E9" s="216"/>
      <c r="F9" s="217"/>
      <c r="G9" s="51"/>
    </row>
    <row r="10" spans="1:7" s="52" customFormat="1" ht="15" thickBot="1" x14ac:dyDescent="0.35">
      <c r="A10" s="56"/>
      <c r="B10" s="56"/>
      <c r="C10" s="156" t="str">
        <f t="shared" si="0"/>
        <v/>
      </c>
      <c r="D10" s="57"/>
      <c r="E10" s="218"/>
      <c r="F10" s="219"/>
      <c r="G10" s="51"/>
    </row>
    <row r="11" spans="1:7" s="52" customFormat="1" ht="15" thickBot="1" x14ac:dyDescent="0.35">
      <c r="A11" s="111" t="s">
        <v>28</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2" t="s">
        <v>13</v>
      </c>
      <c r="F2" s="223"/>
      <c r="G2" s="46"/>
    </row>
    <row r="3" spans="1:7" s="52" customFormat="1" x14ac:dyDescent="0.3">
      <c r="A3" s="48"/>
      <c r="B3" s="49"/>
      <c r="C3" s="153" t="str">
        <f xml:space="preserve"> IF(B3="","",setValueToTime(B3))</f>
        <v/>
      </c>
      <c r="D3" s="50"/>
      <c r="E3" s="224"/>
      <c r="F3" s="225"/>
      <c r="G3" s="51"/>
    </row>
    <row r="4" spans="1:7" s="52" customFormat="1" x14ac:dyDescent="0.3">
      <c r="A4" s="53"/>
      <c r="B4" s="54"/>
      <c r="C4" s="154" t="str">
        <f t="shared" ref="C4:C10" si="0" xml:space="preserve"> IF(B4="","",setValueToTime(B4))</f>
        <v/>
      </c>
      <c r="D4" s="55"/>
      <c r="E4" s="216"/>
      <c r="F4" s="217"/>
      <c r="G4" s="51"/>
    </row>
    <row r="5" spans="1:7" s="52" customFormat="1" x14ac:dyDescent="0.3">
      <c r="A5" s="53"/>
      <c r="B5" s="54"/>
      <c r="C5" s="154" t="str">
        <f t="shared" si="0"/>
        <v/>
      </c>
      <c r="D5" s="55"/>
      <c r="E5" s="216"/>
      <c r="F5" s="217"/>
      <c r="G5" s="51"/>
    </row>
    <row r="6" spans="1:7" s="52" customFormat="1" x14ac:dyDescent="0.3">
      <c r="A6" s="53"/>
      <c r="B6" s="54"/>
      <c r="C6" s="154" t="str">
        <f t="shared" si="0"/>
        <v/>
      </c>
      <c r="D6" s="55"/>
      <c r="E6" s="216"/>
      <c r="F6" s="217"/>
      <c r="G6" s="51"/>
    </row>
    <row r="7" spans="1:7" s="52" customFormat="1" x14ac:dyDescent="0.3">
      <c r="A7" s="54"/>
      <c r="B7" s="54"/>
      <c r="C7" s="155" t="str">
        <f t="shared" si="0"/>
        <v/>
      </c>
      <c r="D7" s="55"/>
      <c r="E7" s="216"/>
      <c r="F7" s="217"/>
      <c r="G7" s="51"/>
    </row>
    <row r="8" spans="1:7" s="52" customFormat="1" x14ac:dyDescent="0.3">
      <c r="A8" s="54"/>
      <c r="B8" s="54"/>
      <c r="C8" s="155" t="str">
        <f t="shared" si="0"/>
        <v/>
      </c>
      <c r="D8" s="55"/>
      <c r="E8" s="216"/>
      <c r="F8" s="217"/>
      <c r="G8" s="51"/>
    </row>
    <row r="9" spans="1:7" s="52" customFormat="1" x14ac:dyDescent="0.3">
      <c r="A9" s="54"/>
      <c r="B9" s="54"/>
      <c r="C9" s="155" t="str">
        <f t="shared" si="0"/>
        <v/>
      </c>
      <c r="D9" s="55"/>
      <c r="E9" s="216"/>
      <c r="F9" s="217"/>
      <c r="G9" s="51"/>
    </row>
    <row r="10" spans="1:7" s="52" customFormat="1" ht="15" thickBot="1" x14ac:dyDescent="0.35">
      <c r="A10" s="56"/>
      <c r="B10" s="56"/>
      <c r="C10" s="156" t="str">
        <f t="shared" si="0"/>
        <v/>
      </c>
      <c r="D10" s="57"/>
      <c r="E10" s="218"/>
      <c r="F10" s="219"/>
      <c r="G10" s="51"/>
    </row>
    <row r="11" spans="1:7" s="52" customFormat="1" ht="15" thickBot="1" x14ac:dyDescent="0.35">
      <c r="A11" s="163" t="s">
        <v>28</v>
      </c>
      <c r="B11" s="83">
        <f>SUM(B3:B10)</f>
        <v>0</v>
      </c>
      <c r="C11" s="163" t="str">
        <f xml:space="preserve"> setValueToTime(B11)</f>
        <v>0h</v>
      </c>
      <c r="D11" s="121"/>
      <c r="E11" s="220"/>
      <c r="F11" s="22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2024-01-09T13:05:57Z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