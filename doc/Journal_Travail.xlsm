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4" i="12"/>
  <c r="C5" i="12"/>
  <c r="C6" i="12"/>
  <c r="C8" i="12"/>
  <c r="C7" i="12"/>
  <c r="C12" i="12"/>
  <c r="C9" i="12"/>
  <c r="B24" i="12" l="1"/>
  <c r="C23" i="12"/>
  <c r="C22" i="12"/>
  <c r="C21" i="12"/>
  <c r="C20" i="12"/>
  <c r="C19" i="12"/>
  <c r="C18" i="12"/>
  <c r="C17" i="12"/>
  <c r="C16" i="12"/>
  <c r="C24" i="12"/>
  <c r="B36" i="12" l="1"/>
  <c r="C35" i="12"/>
  <c r="C34" i="12"/>
  <c r="C33" i="12"/>
  <c r="C32" i="12"/>
  <c r="C31" i="12"/>
  <c r="C28" i="12"/>
  <c r="C30" i="12"/>
  <c r="C29" i="12"/>
  <c r="C36" i="12"/>
  <c r="B48" i="12" l="1"/>
  <c r="C47" i="12"/>
  <c r="C46" i="12"/>
  <c r="C45" i="12"/>
  <c r="C44" i="12"/>
  <c r="C42" i="12"/>
  <c r="C41" i="12"/>
  <c r="C40" i="12"/>
  <c r="C43"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<sst xmlns="http://schemas.openxmlformats.org/spreadsheetml/2006/main" count="269" uniqueCount="75">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</sst>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4" t="s">
        <v>33</v>
      </c>
      <c r="C35" s="184"/>
      <c r="D35" s="184"/>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5" t="s">
        <v>34</v>
      </c>
      <c r="C37" s="185"/>
      <c r="D37" s="185"/>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6" t="s">
        <v>30</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2" t="str">
        <f>E96</f>
        <v>0h</v>
      </c>
      <c r="H9" s="212"/>
      <c r="I9" s="212"/>
      <c r="J9" s="212"/>
      <c r="K9" s="212"/>
      <c r="L9" s="212"/>
      <c r="M9" s="212"/>
      <c r="N9" s="212"/>
      <c r="O9" s="212"/>
      <c r="P9" s="212"/>
      <c r="Q9" s="212"/>
      <c r="R9" s="212"/>
      <c r="S9" s="212"/>
      <c r="T9" s="212"/>
      <c r="U9" s="212"/>
      <c r="V9" s="119"/>
      <c r="W9" s="211" t="s">
        <v>22</v>
      </c>
      <c r="X9" s="211"/>
      <c r="Y9" s="211"/>
      <c r="Z9" s="211"/>
      <c r="AA9" s="211"/>
      <c r="AB9" s="211"/>
      <c r="AC9" s="211"/>
      <c r="AD9" s="211"/>
      <c r="AE9" s="211"/>
      <c r="AF9" s="211"/>
      <c r="AG9" s="211"/>
      <c r="AH9" s="212" t="str">
        <f>E98</f>
        <v>17h35min</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2"/>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90"/>
    </row>
    <row r="11" spans="1:306" ht="20.100000000000001" customHeight="1" x14ac:dyDescent="0.25">
      <c r="B11" s="96"/>
      <c r="C11" s="214"/>
      <c r="D11" s="214"/>
      <c r="E11" s="214"/>
      <c r="F11" s="210" t="s">
        <v>43</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43</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187" t="s">
        <v>43</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90"/>
    </row>
    <row r="12" spans="1:306" ht="15.75" customHeight="1" thickBot="1" x14ac:dyDescent="0.3">
      <c r="B12" s="97"/>
      <c r="C12" s="215"/>
      <c r="D12" s="215"/>
      <c r="E12" s="215"/>
      <c r="F12" s="209">
        <v>45237</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44</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188" t="s">
        <v>44</v>
      </c>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90"/>
    </row>
    <row r="13" spans="1:306" ht="42.75" customHeight="1" thickBot="1" x14ac:dyDescent="0.3">
      <c r="B13" s="96"/>
      <c r="C13" s="205" t="s">
        <v>7</v>
      </c>
      <c r="D13" s="145"/>
      <c r="E13" s="207" t="s">
        <v>40</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27</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18</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45</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11</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90"/>
    </row>
    <row r="14" spans="1:306" ht="12.75" customHeight="1" thickBot="1" x14ac:dyDescent="0.35">
      <c r="B14" s="96"/>
      <c r="C14" s="206"/>
      <c r="D14" s="146"/>
      <c r="E14" s="208"/>
      <c r="F14" s="103"/>
      <c r="G14" s="104"/>
      <c r="H14" s="104"/>
      <c r="I14" s="104"/>
      <c r="J14" s="192" t="s">
        <v>35</v>
      </c>
      <c r="K14" s="192"/>
      <c r="L14" s="192"/>
      <c r="M14" s="192"/>
      <c r="N14" s="104"/>
      <c r="O14" s="104"/>
      <c r="P14" s="193" t="s">
        <v>23</v>
      </c>
      <c r="Q14" s="193"/>
      <c r="R14" s="193"/>
      <c r="S14" s="193"/>
      <c r="T14" s="129"/>
      <c r="U14" s="129"/>
      <c r="V14" s="192" t="s">
        <v>36</v>
      </c>
      <c r="W14" s="192"/>
      <c r="X14" s="192"/>
      <c r="Y14" s="192"/>
      <c r="Z14" s="104"/>
      <c r="AA14" s="104"/>
      <c r="AB14" s="193" t="s">
        <v>24</v>
      </c>
      <c r="AC14" s="193"/>
      <c r="AD14" s="193"/>
      <c r="AE14" s="193"/>
      <c r="AF14" s="129"/>
      <c r="AG14" s="129"/>
      <c r="AH14" s="192" t="s">
        <v>37</v>
      </c>
      <c r="AI14" s="192"/>
      <c r="AJ14" s="192"/>
      <c r="AK14" s="192"/>
      <c r="AL14" s="104"/>
      <c r="AM14" s="104"/>
      <c r="AN14" s="193" t="s">
        <v>25</v>
      </c>
      <c r="AO14" s="193"/>
      <c r="AP14" s="193"/>
      <c r="AQ14" s="193"/>
      <c r="AR14" s="129"/>
      <c r="AS14" s="129"/>
      <c r="AT14" s="192" t="s">
        <v>38</v>
      </c>
      <c r="AU14" s="192"/>
      <c r="AV14" s="192"/>
      <c r="AW14" s="192"/>
      <c r="AX14" s="104"/>
      <c r="AY14" s="104"/>
      <c r="AZ14" s="193" t="s">
        <v>26</v>
      </c>
      <c r="BA14" s="193"/>
      <c r="BB14" s="193"/>
      <c r="BC14" s="193"/>
      <c r="BD14" s="129"/>
      <c r="BE14" s="129"/>
      <c r="BF14" s="192" t="s">
        <v>39</v>
      </c>
      <c r="BG14" s="192"/>
      <c r="BH14" s="192"/>
      <c r="BI14" s="192"/>
      <c r="BJ14" s="104"/>
      <c r="BK14" s="104"/>
      <c r="BL14" s="104"/>
      <c r="BM14" s="105"/>
      <c r="BN14" s="103"/>
      <c r="BO14" s="104"/>
      <c r="BP14" s="104"/>
      <c r="BQ14" s="104"/>
      <c r="BR14" s="192" t="s">
        <v>35</v>
      </c>
      <c r="BS14" s="192"/>
      <c r="BT14" s="192"/>
      <c r="BU14" s="192"/>
      <c r="BV14" s="104"/>
      <c r="BW14" s="104"/>
      <c r="BX14" s="193" t="s">
        <v>23</v>
      </c>
      <c r="BY14" s="193"/>
      <c r="BZ14" s="193"/>
      <c r="CA14" s="193"/>
      <c r="CB14" s="129"/>
      <c r="CC14" s="129"/>
      <c r="CD14" s="192" t="s">
        <v>36</v>
      </c>
      <c r="CE14" s="192"/>
      <c r="CF14" s="192"/>
      <c r="CG14" s="192"/>
      <c r="CH14" s="104"/>
      <c r="CI14" s="104"/>
      <c r="CJ14" s="193" t="s">
        <v>24</v>
      </c>
      <c r="CK14" s="193"/>
      <c r="CL14" s="193"/>
      <c r="CM14" s="193"/>
      <c r="CN14" s="129"/>
      <c r="CO14" s="129"/>
      <c r="CP14" s="192" t="s">
        <v>37</v>
      </c>
      <c r="CQ14" s="192"/>
      <c r="CR14" s="192"/>
      <c r="CS14" s="192"/>
      <c r="CT14" s="104"/>
      <c r="CU14" s="104"/>
      <c r="CV14" s="193" t="s">
        <v>25</v>
      </c>
      <c r="CW14" s="193"/>
      <c r="CX14" s="193"/>
      <c r="CY14" s="193"/>
      <c r="CZ14" s="129"/>
      <c r="DA14" s="129"/>
      <c r="DB14" s="192" t="s">
        <v>38</v>
      </c>
      <c r="DC14" s="192"/>
      <c r="DD14" s="192"/>
      <c r="DE14" s="192"/>
      <c r="DF14" s="104"/>
      <c r="DG14" s="104"/>
      <c r="DH14" s="193" t="s">
        <v>26</v>
      </c>
      <c r="DI14" s="193"/>
      <c r="DJ14" s="193"/>
      <c r="DK14" s="193"/>
      <c r="DL14" s="129"/>
      <c r="DM14" s="129"/>
      <c r="DN14" s="192" t="s">
        <v>39</v>
      </c>
      <c r="DO14" s="192"/>
      <c r="DP14" s="192"/>
      <c r="DQ14" s="192"/>
      <c r="DR14" s="104"/>
      <c r="DS14" s="104"/>
      <c r="DT14" s="104"/>
      <c r="DU14" s="105"/>
      <c r="DV14" s="103"/>
      <c r="DW14" s="104"/>
      <c r="DX14" s="104"/>
      <c r="DY14" s="104"/>
      <c r="DZ14" s="192" t="s">
        <v>35</v>
      </c>
      <c r="EA14" s="192"/>
      <c r="EB14" s="192"/>
      <c r="EC14" s="192"/>
      <c r="ED14" s="104"/>
      <c r="EE14" s="104"/>
      <c r="EF14" s="193" t="s">
        <v>23</v>
      </c>
      <c r="EG14" s="193"/>
      <c r="EH14" s="193"/>
      <c r="EI14" s="193"/>
      <c r="EJ14" s="129"/>
      <c r="EK14" s="129"/>
      <c r="EL14" s="192" t="s">
        <v>36</v>
      </c>
      <c r="EM14" s="192"/>
      <c r="EN14" s="192"/>
      <c r="EO14" s="192"/>
      <c r="EP14" s="104"/>
      <c r="EQ14" s="104"/>
      <c r="ER14" s="193" t="s">
        <v>24</v>
      </c>
      <c r="ES14" s="193"/>
      <c r="ET14" s="193"/>
      <c r="EU14" s="193"/>
      <c r="EV14" s="129"/>
      <c r="EW14" s="129"/>
      <c r="EX14" s="192" t="s">
        <v>37</v>
      </c>
      <c r="EY14" s="192"/>
      <c r="EZ14" s="192"/>
      <c r="FA14" s="192"/>
      <c r="FB14" s="104"/>
      <c r="FC14" s="104"/>
      <c r="FD14" s="193" t="s">
        <v>25</v>
      </c>
      <c r="FE14" s="193"/>
      <c r="FF14" s="193"/>
      <c r="FG14" s="193"/>
      <c r="FH14" s="129"/>
      <c r="FI14" s="129"/>
      <c r="FJ14" s="192" t="s">
        <v>38</v>
      </c>
      <c r="FK14" s="192"/>
      <c r="FL14" s="192"/>
      <c r="FM14" s="192"/>
      <c r="FN14" s="104"/>
      <c r="FO14" s="104"/>
      <c r="FP14" s="193" t="s">
        <v>26</v>
      </c>
      <c r="FQ14" s="193"/>
      <c r="FR14" s="193"/>
      <c r="FS14" s="193"/>
      <c r="FT14" s="129"/>
      <c r="FU14" s="129"/>
      <c r="FV14" s="192" t="s">
        <v>39</v>
      </c>
      <c r="FW14" s="192"/>
      <c r="FX14" s="192"/>
      <c r="FY14" s="192"/>
      <c r="FZ14" s="104"/>
      <c r="GA14" s="104"/>
      <c r="GB14" s="104"/>
      <c r="GC14" s="105"/>
      <c r="GD14" s="103"/>
      <c r="GE14" s="104"/>
      <c r="GF14" s="104"/>
      <c r="GG14" s="104"/>
      <c r="GH14" s="192" t="s">
        <v>35</v>
      </c>
      <c r="GI14" s="192"/>
      <c r="GJ14" s="192"/>
      <c r="GK14" s="192"/>
      <c r="GL14" s="104"/>
      <c r="GM14" s="104"/>
      <c r="GN14" s="193" t="s">
        <v>23</v>
      </c>
      <c r="GO14" s="193"/>
      <c r="GP14" s="193"/>
      <c r="GQ14" s="193"/>
      <c r="GR14" s="129"/>
      <c r="GS14" s="129"/>
      <c r="GT14" s="192" t="s">
        <v>36</v>
      </c>
      <c r="GU14" s="192"/>
      <c r="GV14" s="192"/>
      <c r="GW14" s="192"/>
      <c r="GX14" s="104"/>
      <c r="GY14" s="104"/>
      <c r="GZ14" s="193" t="s">
        <v>24</v>
      </c>
      <c r="HA14" s="193"/>
      <c r="HB14" s="193"/>
      <c r="HC14" s="193"/>
      <c r="HD14" s="129"/>
      <c r="HE14" s="129"/>
      <c r="HF14" s="192" t="s">
        <v>37</v>
      </c>
      <c r="HG14" s="192"/>
      <c r="HH14" s="192"/>
      <c r="HI14" s="192"/>
      <c r="HJ14" s="104"/>
      <c r="HK14" s="104"/>
      <c r="HL14" s="193" t="s">
        <v>25</v>
      </c>
      <c r="HM14" s="193"/>
      <c r="HN14" s="193"/>
      <c r="HO14" s="193"/>
      <c r="HP14" s="129"/>
      <c r="HQ14" s="129"/>
      <c r="HR14" s="192" t="s">
        <v>38</v>
      </c>
      <c r="HS14" s="192"/>
      <c r="HT14" s="192"/>
      <c r="HU14" s="192"/>
      <c r="HV14" s="104"/>
      <c r="HW14" s="104"/>
      <c r="HX14" s="193" t="s">
        <v>26</v>
      </c>
      <c r="HY14" s="193"/>
      <c r="HZ14" s="193"/>
      <c r="IA14" s="193"/>
      <c r="IB14" s="129"/>
      <c r="IC14" s="129"/>
      <c r="ID14" s="192" t="s">
        <v>39</v>
      </c>
      <c r="IE14" s="192"/>
      <c r="IF14" s="192"/>
      <c r="IG14" s="192"/>
      <c r="IH14" s="104"/>
      <c r="II14" s="104"/>
      <c r="IJ14" s="104"/>
      <c r="IK14" s="105"/>
      <c r="IL14" s="103"/>
      <c r="IM14" s="104"/>
      <c r="IN14" s="104"/>
      <c r="IO14" s="104"/>
      <c r="IP14" s="192" t="s">
        <v>35</v>
      </c>
      <c r="IQ14" s="192"/>
      <c r="IR14" s="192"/>
      <c r="IS14" s="192"/>
      <c r="IT14" s="104"/>
      <c r="IU14" s="104"/>
      <c r="IV14" s="193" t="s">
        <v>23</v>
      </c>
      <c r="IW14" s="193"/>
      <c r="IX14" s="193"/>
      <c r="IY14" s="193"/>
      <c r="IZ14" s="129"/>
      <c r="JA14" s="129"/>
      <c r="JB14" s="192" t="s">
        <v>36</v>
      </c>
      <c r="JC14" s="192"/>
      <c r="JD14" s="192"/>
      <c r="JE14" s="192"/>
      <c r="JF14" s="104"/>
      <c r="JG14" s="104"/>
      <c r="JH14" s="193" t="s">
        <v>24</v>
      </c>
      <c r="JI14" s="193"/>
      <c r="JJ14" s="193"/>
      <c r="JK14" s="193"/>
      <c r="JL14" s="129"/>
      <c r="JM14" s="129"/>
      <c r="JN14" s="192" t="s">
        <v>37</v>
      </c>
      <c r="JO14" s="192"/>
      <c r="JP14" s="192"/>
      <c r="JQ14" s="192"/>
      <c r="JR14" s="104"/>
      <c r="JS14" s="104"/>
      <c r="JT14" s="193" t="s">
        <v>25</v>
      </c>
      <c r="JU14" s="193"/>
      <c r="JV14" s="193"/>
      <c r="JW14" s="193"/>
      <c r="JX14" s="129"/>
      <c r="JY14" s="129"/>
      <c r="JZ14" s="192" t="s">
        <v>38</v>
      </c>
      <c r="KA14" s="192"/>
      <c r="KB14" s="192"/>
      <c r="KC14" s="192"/>
      <c r="KD14" s="104"/>
      <c r="KE14" s="104"/>
      <c r="KF14" s="193" t="s">
        <v>26</v>
      </c>
      <c r="KG14" s="193"/>
      <c r="KH14" s="193"/>
      <c r="KI14" s="193"/>
      <c r="KJ14" s="129"/>
      <c r="KK14" s="129"/>
      <c r="KL14" s="192" t="s">
        <v>39</v>
      </c>
      <c r="KM14" s="192"/>
      <c r="KN14" s="192"/>
      <c r="KO14" s="192"/>
      <c r="KP14" s="104"/>
      <c r="KQ14" s="104"/>
      <c r="KR14" s="104"/>
      <c r="KS14" s="105"/>
      <c r="KT14" s="90"/>
    </row>
    <row r="15" spans="1:306" ht="20.100000000000001" customHeight="1" x14ac:dyDescent="0.25">
      <c r="A15" s="100" t="s">
        <v>19</v>
      </c>
      <c r="B15" s="63" t="str">
        <f>IF(LEN(C15)=0,"",C15)</f>
        <v xml:space="preserve">Absences - imprévus </v>
      </c>
      <c r="C15" s="202"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3"/>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202"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203"/>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202"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204"/>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202"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204"/>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202"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204"/>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202"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203"/>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202"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203"/>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202"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203"/>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202"/>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203"/>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2"/>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3"/>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2"/>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4"/>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2"/>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3"/>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2"/>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4"/>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2"/>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3"/>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2"/>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3"/>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2"/>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4"/>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2"/>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3"/>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2"/>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3"/>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2"/>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4"/>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2"/>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3"/>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2"/>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4"/>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2"/>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3"/>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2"/>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3"/>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2"/>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4"/>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2"/>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3"/>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2"/>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3"/>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2"/>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4"/>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2"/>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3"/>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2"/>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4"/>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2"/>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3"/>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2"/>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3"/>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2"/>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4"/>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2"/>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3"/>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2"/>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3"/>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2"/>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4"/>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2"/>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3"/>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2"/>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4"/>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2"/>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3"/>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2"/>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3"/>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2"/>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4"/>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4" t="s">
        <v>9</v>
      </c>
      <c r="D95" s="195"/>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6"/>
      <c r="D96" s="197"/>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8" t="s">
        <v>10</v>
      </c>
      <c r="D97" s="199"/>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0"/>
      <c r="D98" s="201"/>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5</v>
      </c>
      <c r="C2" s="165"/>
      <c r="D2" s="158" t="s">
        <v>14</v>
      </c>
      <c r="E2" s="159">
        <v>45265</v>
      </c>
      <c r="F2" s="176"/>
      <c r="G2" s="46"/>
    </row>
    <row r="3" spans="1:7" s="47" customFormat="1" ht="30" customHeight="1" thickBot="1" x14ac:dyDescent="0.3">
      <c r="A3" s="78" t="s">
        <v>5</v>
      </c>
      <c r="B3" s="162" t="s">
        <v>41</v>
      </c>
      <c r="C3" s="161"/>
      <c r="D3" s="78" t="s">
        <v>12</v>
      </c>
      <c r="E3" s="224" t="s">
        <v>13</v>
      </c>
      <c r="F3" s="225"/>
      <c r="G3" s="46"/>
    </row>
    <row r="4" spans="1:7" s="52" customFormat="1" ht="27" x14ac:dyDescent="0.3">
      <c r="A4" s="48" t="s">
        <v>57</v>
      </c>
      <c r="B4" s="49">
        <v>16</v>
      </c>
      <c r="C4" s="153" t="str">
        <f xml:space="preserve"> IF(B4="","",setValueToTime(B4))</f>
        <v>1h20min</v>
      </c>
      <c r="D4" s="166" t="s">
        <v>69</v>
      </c>
      <c r="E4" s="226"/>
      <c r="F4" s="227"/>
      <c r="G4" s="51"/>
    </row>
    <row r="5" spans="1:7" s="52" customFormat="1" x14ac:dyDescent="0.3">
      <c r="A5" s="53" t="s">
        <v>57</v>
      </c>
      <c r="B5" s="54">
        <v>2</v>
      </c>
      <c r="C5" s="154" t="str">
        <f t="shared" ref="C5:C11" si="0" xml:space="preserve"> IF(B5="","",setValueToTime(B5))</f>
        <v>0h10min</v>
      </c>
      <c r="D5" s="173" t="s">
        <v>70</v>
      </c>
      <c r="E5" s="218"/>
      <c r="F5" s="219"/>
      <c r="G5" s="51"/>
    </row>
    <row r="6" spans="1:7" s="52" customFormat="1" x14ac:dyDescent="0.3">
      <c r="A6" s="53" t="s">
        <v>57</v>
      </c>
      <c r="B6" s="54">
        <v>6</v>
      </c>
      <c r="C6" s="154" t="str">
        <f t="shared" si="0"/>
        <v>0h30min</v>
      </c>
      <c r="D6" s="173" t="s">
        <v>71</v>
      </c>
      <c r="E6" s="218"/>
      <c r="F6" s="219"/>
      <c r="G6" s="51"/>
    </row>
    <row r="7" spans="1:7" s="52" customFormat="1" ht="27" x14ac:dyDescent="0.3">
      <c r="A7" s="53" t="s">
        <v>50</v>
      </c>
      <c r="B7" s="54">
        <v>12</v>
      </c>
      <c r="C7" s="154" t="str">
        <f t="shared" si="0"/>
        <v>1h</v>
      </c>
      <c r="D7" s="173" t="s">
        <v>72</v>
      </c>
      <c r="E7" s="218"/>
      <c r="F7" s="219"/>
      <c r="G7" s="51"/>
    </row>
    <row r="8" spans="1:7" s="52" customFormat="1" ht="27" x14ac:dyDescent="0.3">
      <c r="A8" s="54" t="s">
        <v>57</v>
      </c>
      <c r="B8" s="54">
        <v>5</v>
      </c>
      <c r="C8" s="155" t="str">
        <f t="shared" si="0"/>
        <v>0h25min</v>
      </c>
      <c r="D8" s="173" t="s">
        <v>73</v>
      </c>
      <c r="E8" s="218"/>
      <c r="F8" s="219"/>
      <c r="G8" s="51"/>
    </row>
    <row r="9" spans="1:7" s="52" customFormat="1" x14ac:dyDescent="0.3">
      <c r="A9" s="54" t="s">
        <v>57</v>
      </c>
      <c r="B9" s="54">
        <v>6</v>
      </c>
      <c r="C9" s="155" t="str">
        <f t="shared" si="0"/>
        <v>0h30min</v>
      </c>
      <c r="D9" s="173" t="s">
        <v>74</v>
      </c>
      <c r="E9" s="218"/>
      <c r="F9" s="219"/>
      <c r="G9" s="51"/>
    </row>
    <row r="10" spans="1:7" s="52" customFormat="1" x14ac:dyDescent="0.3">
      <c r="A10" s="54"/>
      <c r="B10" s="54"/>
      <c r="C10" s="155" t="str">
        <f t="shared" si="0"/>
        <v/>
      </c>
      <c r="D10" s="55"/>
      <c r="E10" s="218"/>
      <c r="F10" s="219"/>
      <c r="G10" s="51"/>
    </row>
    <row r="11" spans="1:7" s="52" customFormat="1" ht="15" thickBot="1" x14ac:dyDescent="0.35">
      <c r="A11" s="56"/>
      <c r="B11" s="56"/>
      <c r="C11" s="156" t="str">
        <f t="shared" si="0"/>
        <v/>
      </c>
      <c r="D11" s="57"/>
      <c r="E11" s="220"/>
      <c r="F11" s="221"/>
      <c r="G11" s="51"/>
    </row>
    <row r="12" spans="1:7" s="52" customFormat="1" ht="15" thickBot="1" x14ac:dyDescent="0.35">
      <c r="A12" s="163" t="s">
        <v>28</v>
      </c>
      <c r="B12" s="83">
        <f>SUM(B4:B11)</f>
        <v>47</v>
      </c>
      <c r="C12" s="163" t="str">
        <f xml:space="preserve"> setValueToTime(B12)</f>
        <v>3h55min</v>
      </c>
      <c r="D12" s="121"/>
      <c r="E12" s="222"/>
      <c r="F12" s="223"/>
      <c r="G12" s="51"/>
    </row>
    <row r="13" spans="1:7" s="59" customFormat="1" ht="15" thickBot="1" x14ac:dyDescent="0.35">
      <c r="A13" s="77"/>
      <c r="B13" s="77"/>
      <c r="C13" s="77"/>
      <c r="D13" s="77"/>
      <c r="E13" s="77"/>
      <c r="F13" s="77"/>
      <c r="G13" s="58"/>
    </row>
    <row r="14" spans="1:7" s="47" customFormat="1" ht="30" customHeight="1" thickBot="1" x14ac:dyDescent="0.3">
      <c r="A14" s="157" t="s">
        <v>11</v>
      </c>
      <c r="B14" s="165">
        <v>4</v>
      </c>
      <c r="C14" s="165"/>
      <c r="D14" s="158" t="s">
        <v>14</v>
      </c>
      <c r="E14" s="159">
        <v>45258</v>
      </c>
      <c r="F14" s="175"/>
      <c r="G14" s="46"/>
    </row>
    <row r="15" spans="1:7" s="47" customFormat="1" ht="30" customHeight="1" thickBot="1" x14ac:dyDescent="0.3">
      <c r="A15" s="78" t="s">
        <v>5</v>
      </c>
      <c r="B15" s="162" t="s">
        <v>41</v>
      </c>
      <c r="C15" s="161"/>
      <c r="D15" s="78" t="s">
        <v>12</v>
      </c>
      <c r="E15" s="224" t="s">
        <v>13</v>
      </c>
      <c r="F15" s="225"/>
      <c r="G15" s="46"/>
    </row>
    <row r="16" spans="1:7" s="52" customFormat="1" x14ac:dyDescent="0.3">
      <c r="A16" s="48" t="s">
        <v>57</v>
      </c>
      <c r="B16" s="49">
        <v>2</v>
      </c>
      <c r="C16" s="153" t="str">
        <f xml:space="preserve"> IF(B16="","",setValueToTime(B16))</f>
        <v>0h10min</v>
      </c>
      <c r="D16" s="166" t="s">
        <v>64</v>
      </c>
      <c r="E16" s="226"/>
      <c r="F16" s="227"/>
      <c r="G16" s="51"/>
    </row>
    <row r="17" spans="1:7" s="52" customFormat="1" ht="54" x14ac:dyDescent="0.3">
      <c r="A17" s="53" t="s">
        <v>57</v>
      </c>
      <c r="B17" s="54">
        <v>8</v>
      </c>
      <c r="C17" s="154" t="str">
        <f t="shared" ref="C17:C23" si="1" xml:space="preserve"> IF(B17="","",setValueToTime(B17))</f>
        <v>0h40min</v>
      </c>
      <c r="D17" s="173" t="s">
        <v>65</v>
      </c>
      <c r="E17" s="218"/>
      <c r="F17" s="219"/>
      <c r="G17" s="51"/>
    </row>
    <row r="18" spans="1:7" s="52" customFormat="1" x14ac:dyDescent="0.3">
      <c r="A18" s="53" t="s">
        <v>57</v>
      </c>
      <c r="B18" s="54">
        <v>13</v>
      </c>
      <c r="C18" s="154" t="str">
        <f t="shared" si="1"/>
        <v>1h5min</v>
      </c>
      <c r="D18" s="173" t="s">
        <v>66</v>
      </c>
      <c r="E18" s="218"/>
      <c r="F18" s="219"/>
      <c r="G18" s="51"/>
    </row>
    <row r="19" spans="1:7" s="52" customFormat="1" x14ac:dyDescent="0.3">
      <c r="A19" s="53" t="s">
        <v>57</v>
      </c>
      <c r="B19" s="54">
        <v>1</v>
      </c>
      <c r="C19" s="154" t="str">
        <f t="shared" si="1"/>
        <v>0h5min</v>
      </c>
      <c r="D19" s="173" t="s">
        <v>67</v>
      </c>
      <c r="E19" s="218"/>
      <c r="F19" s="219"/>
      <c r="G19" s="51"/>
    </row>
    <row r="20" spans="1:7" s="52" customFormat="1" x14ac:dyDescent="0.3">
      <c r="A20" s="54" t="s">
        <v>57</v>
      </c>
      <c r="B20" s="54">
        <v>11</v>
      </c>
      <c r="C20" s="155" t="str">
        <f t="shared" si="1"/>
        <v>0h55min</v>
      </c>
      <c r="D20" s="173" t="s">
        <v>68</v>
      </c>
      <c r="E20" s="218"/>
      <c r="F20" s="219"/>
      <c r="G20" s="51"/>
    </row>
    <row r="21" spans="1:7" s="52" customFormat="1" x14ac:dyDescent="0.3">
      <c r="A21" s="54"/>
      <c r="B21" s="54"/>
      <c r="C21" s="155" t="str">
        <f t="shared" si="1"/>
        <v/>
      </c>
      <c r="D21" s="55"/>
      <c r="E21" s="218"/>
      <c r="F21" s="219"/>
      <c r="G21" s="51"/>
    </row>
    <row r="22" spans="1:7" s="52" customFormat="1" x14ac:dyDescent="0.3">
      <c r="A22" s="54"/>
      <c r="B22" s="54"/>
      <c r="C22" s="155" t="str">
        <f t="shared" si="1"/>
        <v/>
      </c>
      <c r="D22" s="55"/>
      <c r="E22" s="218"/>
      <c r="F22" s="219"/>
      <c r="G22" s="51"/>
    </row>
    <row r="23" spans="1:7" s="52" customFormat="1" ht="15" thickBot="1" x14ac:dyDescent="0.35">
      <c r="A23" s="56"/>
      <c r="B23" s="56"/>
      <c r="C23" s="156" t="str">
        <f t="shared" si="1"/>
        <v/>
      </c>
      <c r="D23" s="57"/>
      <c r="E23" s="220"/>
      <c r="F23" s="221"/>
      <c r="G23" s="51"/>
    </row>
    <row r="24" spans="1:7" s="52" customFormat="1" ht="15" thickBot="1" x14ac:dyDescent="0.35">
      <c r="A24" s="163" t="s">
        <v>28</v>
      </c>
      <c r="B24" s="83">
        <f>SUM(B16:B23)</f>
        <v>35</v>
      </c>
      <c r="C24" s="163" t="str">
        <f xml:space="preserve"> setValueToTime(B24)</f>
        <v>2h55min</v>
      </c>
      <c r="D24" s="121"/>
      <c r="E24" s="222"/>
      <c r="F24" s="223"/>
      <c r="G24" s="51"/>
    </row>
    <row r="25" spans="1:7" s="59" customFormat="1" ht="15" thickBot="1" x14ac:dyDescent="0.35">
      <c r="A25" s="77"/>
      <c r="B25" s="77"/>
      <c r="C25" s="77"/>
      <c r="D25" s="77"/>
      <c r="E25" s="77"/>
      <c r="F25" s="77"/>
      <c r="G25" s="58"/>
    </row>
    <row r="26" spans="1:7" s="47" customFormat="1" ht="30" customHeight="1" thickBot="1" x14ac:dyDescent="0.3">
      <c r="A26" s="157" t="s">
        <v>11</v>
      </c>
      <c r="B26" s="165">
        <v>3</v>
      </c>
      <c r="C26" s="165"/>
      <c r="D26" s="158" t="s">
        <v>14</v>
      </c>
      <c r="E26" s="159">
        <v>45251</v>
      </c>
      <c r="F26" s="174"/>
      <c r="G26" s="46"/>
    </row>
    <row r="27" spans="1:7" s="47" customFormat="1" ht="30" customHeight="1" thickBot="1" x14ac:dyDescent="0.3">
      <c r="A27" s="78" t="s">
        <v>5</v>
      </c>
      <c r="B27" s="162" t="s">
        <v>41</v>
      </c>
      <c r="C27" s="161"/>
      <c r="D27" s="78" t="s">
        <v>12</v>
      </c>
      <c r="E27" s="224" t="s">
        <v>13</v>
      </c>
      <c r="F27" s="225"/>
      <c r="G27" s="46"/>
    </row>
    <row r="28" spans="1:7" s="52" customFormat="1" ht="27" x14ac:dyDescent="0.3">
      <c r="A28" s="48" t="s">
        <v>57</v>
      </c>
      <c r="B28" s="49">
        <v>10</v>
      </c>
      <c r="C28" s="153" t="str">
        <f xml:space="preserve"> IF(B28="","",setValueToTime(B28))</f>
        <v>0h50min</v>
      </c>
      <c r="D28" s="166" t="s">
        <v>63</v>
      </c>
      <c r="E28" s="226"/>
      <c r="F28" s="227"/>
      <c r="G28" s="51"/>
    </row>
    <row r="29" spans="1:7" s="52" customFormat="1" x14ac:dyDescent="0.3">
      <c r="A29" s="53" t="s">
        <v>57</v>
      </c>
      <c r="B29" s="54">
        <v>6</v>
      </c>
      <c r="C29" s="154" t="str">
        <f t="shared" ref="C29:C35" si="2" xml:space="preserve"> IF(B29="","",setValueToTime(B29))</f>
        <v>0h30min</v>
      </c>
      <c r="D29" s="173" t="s">
        <v>62</v>
      </c>
      <c r="E29" s="218"/>
      <c r="F29" s="219"/>
      <c r="G29" s="51"/>
    </row>
    <row r="30" spans="1:7" s="52" customFormat="1" x14ac:dyDescent="0.3">
      <c r="A30" s="53" t="s">
        <v>57</v>
      </c>
      <c r="B30" s="54">
        <v>36</v>
      </c>
      <c r="C30" s="154" t="str">
        <f t="shared" si="2"/>
        <v>3h</v>
      </c>
      <c r="D30" s="173" t="s">
        <v>61</v>
      </c>
      <c r="E30" s="218"/>
      <c r="F30" s="219"/>
      <c r="G30" s="51"/>
    </row>
    <row r="31" spans="1:7" s="52" customFormat="1" x14ac:dyDescent="0.3">
      <c r="A31" s="53"/>
      <c r="B31" s="54"/>
      <c r="C31" s="154" t="str">
        <f t="shared" si="2"/>
        <v/>
      </c>
      <c r="D31" s="55"/>
      <c r="E31" s="218"/>
      <c r="F31" s="219"/>
      <c r="G31" s="51"/>
    </row>
    <row r="32" spans="1:7" s="52" customFormat="1" x14ac:dyDescent="0.3">
      <c r="A32" s="54"/>
      <c r="B32" s="54"/>
      <c r="C32" s="155" t="str">
        <f t="shared" si="2"/>
        <v/>
      </c>
      <c r="D32" s="55"/>
      <c r="E32" s="218"/>
      <c r="F32" s="219"/>
      <c r="G32" s="51"/>
    </row>
    <row r="33" spans="1:7" s="52" customFormat="1" x14ac:dyDescent="0.3">
      <c r="A33" s="54"/>
      <c r="B33" s="54"/>
      <c r="C33" s="155" t="str">
        <f t="shared" si="2"/>
        <v/>
      </c>
      <c r="D33" s="55"/>
      <c r="E33" s="218"/>
      <c r="F33" s="219"/>
      <c r="G33" s="51"/>
    </row>
    <row r="34" spans="1:7" s="52" customFormat="1" x14ac:dyDescent="0.3">
      <c r="A34" s="54"/>
      <c r="B34" s="54"/>
      <c r="C34" s="155" t="str">
        <f t="shared" si="2"/>
        <v/>
      </c>
      <c r="D34" s="55"/>
      <c r="E34" s="218"/>
      <c r="F34" s="219"/>
      <c r="G34" s="51"/>
    </row>
    <row r="35" spans="1:7" s="52" customFormat="1" ht="15" thickBot="1" x14ac:dyDescent="0.35">
      <c r="A35" s="56"/>
      <c r="B35" s="56"/>
      <c r="C35" s="156" t="str">
        <f t="shared" si="2"/>
        <v/>
      </c>
      <c r="D35" s="57"/>
      <c r="E35" s="220"/>
      <c r="F35" s="221"/>
      <c r="G35" s="51"/>
    </row>
    <row r="36" spans="1:7" s="52" customFormat="1" ht="15" thickBot="1" x14ac:dyDescent="0.35">
      <c r="A36" s="163" t="s">
        <v>28</v>
      </c>
      <c r="B36" s="83">
        <f>SUM(B28:B35)</f>
        <v>52</v>
      </c>
      <c r="C36" s="163" t="str">
        <f xml:space="preserve"> setValueToTime(B36)</f>
        <v>4h20min</v>
      </c>
      <c r="D36" s="121"/>
      <c r="E36" s="222"/>
      <c r="F36" s="223"/>
      <c r="G36" s="51"/>
    </row>
    <row r="37" spans="1:7" s="59" customFormat="1" ht="15" thickBot="1" x14ac:dyDescent="0.35">
      <c r="A37" s="77"/>
      <c r="B37" s="77"/>
      <c r="C37" s="77"/>
      <c r="D37" s="77"/>
      <c r="E37" s="77"/>
      <c r="F37" s="77"/>
      <c r="G37" s="58"/>
    </row>
    <row r="38" spans="1:7" s="47" customFormat="1" ht="30" customHeight="1" thickBot="1" x14ac:dyDescent="0.3">
      <c r="A38" s="157" t="s">
        <v>11</v>
      </c>
      <c r="B38" s="165">
        <v>2</v>
      </c>
      <c r="C38" s="165"/>
      <c r="D38" s="158" t="s">
        <v>14</v>
      </c>
      <c r="E38" s="159">
        <v>45244</v>
      </c>
      <c r="F38" s="167"/>
      <c r="G38" s="46"/>
    </row>
    <row r="39" spans="1:7" s="47" customFormat="1" ht="30" customHeight="1" thickBot="1" x14ac:dyDescent="0.3">
      <c r="A39" s="78" t="s">
        <v>5</v>
      </c>
      <c r="B39" s="162" t="s">
        <v>41</v>
      </c>
      <c r="C39" s="161"/>
      <c r="D39" s="78" t="s">
        <v>12</v>
      </c>
      <c r="E39" s="224" t="s">
        <v>13</v>
      </c>
      <c r="F39" s="225"/>
      <c r="G39" s="46"/>
    </row>
    <row r="40" spans="1:7" s="52" customFormat="1" ht="27" x14ac:dyDescent="0.3">
      <c r="A40" s="48" t="s">
        <v>50</v>
      </c>
      <c r="B40" s="49">
        <v>6</v>
      </c>
      <c r="C40" s="153" t="str">
        <f xml:space="preserve"> IF(B40="","",setValueToTime(B40))</f>
        <v>0h30min</v>
      </c>
      <c r="D40" s="166" t="s">
        <v>56</v>
      </c>
      <c r="E40" s="228" t="s">
        <v>54</v>
      </c>
      <c r="F40" s="227"/>
      <c r="G40" s="51"/>
    </row>
    <row r="41" spans="1:7" s="52" customFormat="1" ht="40.5" x14ac:dyDescent="0.3">
      <c r="A41" s="53" t="s">
        <v>57</v>
      </c>
      <c r="B41" s="54">
        <v>3</v>
      </c>
      <c r="C41" s="154" t="str">
        <f t="shared" ref="C41:C47" si="3" xml:space="preserve"> IF(B41="","",setValueToTime(B41))</f>
        <v>0h15min</v>
      </c>
      <c r="D41" s="173" t="s">
        <v>58</v>
      </c>
      <c r="E41" s="218"/>
      <c r="F41" s="219"/>
      <c r="G41" s="51"/>
    </row>
    <row r="42" spans="1:7" s="52" customFormat="1" x14ac:dyDescent="0.3">
      <c r="A42" s="53" t="s">
        <v>15</v>
      </c>
      <c r="B42" s="54">
        <v>11</v>
      </c>
      <c r="C42" s="154" t="str">
        <f t="shared" si="3"/>
        <v>0h55min</v>
      </c>
      <c r="D42" s="173" t="s">
        <v>59</v>
      </c>
      <c r="E42" s="229" t="s">
        <v>54</v>
      </c>
      <c r="F42" s="219"/>
      <c r="G42" s="51"/>
    </row>
    <row r="43" spans="1:7" s="52" customFormat="1" x14ac:dyDescent="0.3">
      <c r="A43" s="53" t="s">
        <v>57</v>
      </c>
      <c r="B43" s="54">
        <v>29</v>
      </c>
      <c r="C43" s="154" t="str">
        <f t="shared" si="3"/>
        <v>2h25min</v>
      </c>
      <c r="D43" s="173" t="s">
        <v>60</v>
      </c>
      <c r="E43" s="218"/>
      <c r="F43" s="219"/>
      <c r="G43" s="51"/>
    </row>
    <row r="44" spans="1:7" s="52" customFormat="1" x14ac:dyDescent="0.3">
      <c r="A44" s="54"/>
      <c r="B44" s="54"/>
      <c r="C44" s="155" t="str">
        <f t="shared" si="3"/>
        <v/>
      </c>
      <c r="D44" s="55"/>
      <c r="E44" s="218"/>
      <c r="F44" s="219"/>
      <c r="G44" s="51"/>
    </row>
    <row r="45" spans="1:7" s="52" customFormat="1" x14ac:dyDescent="0.3">
      <c r="A45" s="54"/>
      <c r="B45" s="54"/>
      <c r="C45" s="155" t="str">
        <f t="shared" si="3"/>
        <v/>
      </c>
      <c r="D45" s="55"/>
      <c r="E45" s="218"/>
      <c r="F45" s="219"/>
      <c r="G45" s="51"/>
    </row>
    <row r="46" spans="1:7" s="52" customFormat="1" x14ac:dyDescent="0.3">
      <c r="A46" s="54"/>
      <c r="B46" s="54"/>
      <c r="C46" s="155" t="str">
        <f t="shared" si="3"/>
        <v/>
      </c>
      <c r="D46" s="55"/>
      <c r="E46" s="218"/>
      <c r="F46" s="219"/>
      <c r="G46" s="51"/>
    </row>
    <row r="47" spans="1:7" s="52" customFormat="1" ht="15" thickBot="1" x14ac:dyDescent="0.35">
      <c r="A47" s="56"/>
      <c r="B47" s="56"/>
      <c r="C47" s="156" t="str">
        <f t="shared" si="3"/>
        <v/>
      </c>
      <c r="D47" s="57"/>
      <c r="E47" s="220"/>
      <c r="F47" s="221"/>
      <c r="G47" s="51"/>
    </row>
    <row r="48" spans="1:7" s="52" customFormat="1" ht="15" thickBot="1" x14ac:dyDescent="0.35">
      <c r="A48" s="163" t="s">
        <v>28</v>
      </c>
      <c r="B48" s="83">
        <f>SUM(B40:B47)</f>
        <v>49</v>
      </c>
      <c r="C48" s="163" t="str">
        <f xml:space="preserve"> setValueToTime(B48)</f>
        <v>4h5min</v>
      </c>
      <c r="D48" s="121"/>
      <c r="E48" s="222"/>
      <c r="F48" s="223"/>
      <c r="G48" s="51"/>
    </row>
    <row r="49" spans="1:7" s="59" customFormat="1" ht="15" thickBot="1" x14ac:dyDescent="0.35">
      <c r="A49" s="77"/>
      <c r="B49" s="77"/>
      <c r="C49" s="77"/>
      <c r="D49" s="77"/>
      <c r="E49" s="77"/>
      <c r="F49" s="77"/>
      <c r="G49" s="58"/>
    </row>
    <row r="50" spans="1:7" s="47" customFormat="1" ht="30" customHeight="1" thickBot="1" x14ac:dyDescent="0.3">
      <c r="A50" s="157" t="s">
        <v>11</v>
      </c>
      <c r="B50" s="165">
        <v>1</v>
      </c>
      <c r="C50" s="165"/>
      <c r="D50" s="158" t="s">
        <v>14</v>
      </c>
      <c r="E50" s="230">
        <v>45237</v>
      </c>
      <c r="F50" s="231"/>
      <c r="G50" s="46"/>
    </row>
    <row r="51" spans="1:7" s="47" customFormat="1" ht="30" customHeight="1" thickBot="1" x14ac:dyDescent="0.3">
      <c r="A51" s="78" t="s">
        <v>5</v>
      </c>
      <c r="B51" s="162" t="s">
        <v>41</v>
      </c>
      <c r="C51" s="161"/>
      <c r="D51" s="78" t="s">
        <v>12</v>
      </c>
      <c r="E51" s="224" t="s">
        <v>13</v>
      </c>
      <c r="F51" s="225"/>
      <c r="G51" s="46"/>
    </row>
    <row r="52" spans="1:7" s="52" customFormat="1" x14ac:dyDescent="0.3">
      <c r="A52" s="48" t="s">
        <v>49</v>
      </c>
      <c r="B52" s="49">
        <v>13</v>
      </c>
      <c r="C52" s="153" t="str">
        <f xml:space="preserve"> IF(B52="","",setValueToTime(B52))</f>
        <v>1h5min</v>
      </c>
      <c r="D52" s="166" t="s">
        <v>51</v>
      </c>
      <c r="E52" s="226"/>
      <c r="F52" s="227"/>
      <c r="G52" s="51"/>
    </row>
    <row r="53" spans="1:7" s="52" customFormat="1" ht="27" x14ac:dyDescent="0.3">
      <c r="A53" s="53" t="s">
        <v>15</v>
      </c>
      <c r="B53" s="54">
        <v>38</v>
      </c>
      <c r="C53" s="154" t="str">
        <f t="shared" ref="C53:C59" si="4" xml:space="preserve"> IF(B53="","",setValueToTime(B53))</f>
        <v>3h10min</v>
      </c>
      <c r="D53" s="173" t="s">
        <v>55</v>
      </c>
      <c r="E53" s="229" t="s">
        <v>54</v>
      </c>
      <c r="F53" s="219"/>
      <c r="G53" s="51"/>
    </row>
    <row r="54" spans="1:7" s="52" customFormat="1" x14ac:dyDescent="0.3">
      <c r="A54" s="53"/>
      <c r="B54" s="54"/>
      <c r="C54" s="154" t="str">
        <f t="shared" si="4"/>
        <v/>
      </c>
      <c r="D54" s="55"/>
      <c r="E54" s="218"/>
      <c r="F54" s="219"/>
      <c r="G54" s="51"/>
    </row>
    <row r="55" spans="1:7" s="52" customFormat="1" x14ac:dyDescent="0.3">
      <c r="A55" s="53"/>
      <c r="B55" s="54"/>
      <c r="C55" s="154" t="str">
        <f t="shared" si="4"/>
        <v/>
      </c>
      <c r="D55" s="55"/>
      <c r="E55" s="218"/>
      <c r="F55" s="219"/>
      <c r="G55" s="51"/>
    </row>
    <row r="56" spans="1:7" s="52" customFormat="1" x14ac:dyDescent="0.3">
      <c r="A56" s="54"/>
      <c r="B56" s="54"/>
      <c r="C56" s="155" t="str">
        <f t="shared" si="4"/>
        <v/>
      </c>
      <c r="D56" s="55"/>
      <c r="E56" s="218"/>
      <c r="F56" s="219"/>
      <c r="G56" s="51"/>
    </row>
    <row r="57" spans="1:7" s="52" customFormat="1" x14ac:dyDescent="0.3">
      <c r="A57" s="54"/>
      <c r="B57" s="54"/>
      <c r="C57" s="155" t="str">
        <f t="shared" si="4"/>
        <v/>
      </c>
      <c r="D57" s="55"/>
      <c r="E57" s="218"/>
      <c r="F57" s="219"/>
      <c r="G57" s="51"/>
    </row>
    <row r="58" spans="1:7" s="52" customFormat="1" x14ac:dyDescent="0.3">
      <c r="A58" s="54"/>
      <c r="B58" s="54"/>
      <c r="C58" s="155" t="str">
        <f t="shared" si="4"/>
        <v/>
      </c>
      <c r="D58" s="55"/>
      <c r="E58" s="218"/>
      <c r="F58" s="219"/>
      <c r="G58" s="51"/>
    </row>
    <row r="59" spans="1:7" s="52" customFormat="1" ht="15" thickBot="1" x14ac:dyDescent="0.35">
      <c r="A59" s="56"/>
      <c r="B59" s="56"/>
      <c r="C59" s="156" t="str">
        <f t="shared" si="4"/>
        <v/>
      </c>
      <c r="D59" s="57"/>
      <c r="E59" s="220"/>
      <c r="F59" s="221"/>
      <c r="G59" s="51"/>
    </row>
    <row r="60" spans="1:7" s="52" customFormat="1" ht="15" thickBot="1" x14ac:dyDescent="0.35">
      <c r="A60" s="163" t="s">
        <v>28</v>
      </c>
      <c r="B60" s="83">
        <f>SUM(B52:B59)</f>
        <v>51</v>
      </c>
      <c r="C60" s="163" t="str">
        <f xml:space="preserve"> setValueToTime(B60)</f>
        <v>4h15min</v>
      </c>
      <c r="D60" s="121"/>
      <c r="E60" s="222"/>
      <c r="F60" s="223"/>
      <c r="G60" s="51"/>
    </row>
    <row r="61" spans="1:7" s="59" customFormat="1" x14ac:dyDescent="0.3">
      <c r="A61" s="77"/>
      <c r="B61" s="77"/>
      <c r="C61" s="77"/>
      <c r="D61" s="77"/>
      <c r="E61" s="77"/>
      <c r="F61" s="77"/>
      <c r="G61" s="58"/>
    </row>
  </sheetData>
  <sheetProtection formatRows="0" insertRows="0" insertHyperlinks="0" deleteRows="0" selectLockedCells="1"/>
  <mergeCells count="51">
    <mergeCell ref="E8:F8"/>
    <mergeCell ref="E9:F9"/>
    <mergeCell ref="E10:F10"/>
    <mergeCell ref="E11:F11"/>
    <mergeCell ref="E12:F12"/>
    <mergeCell ref="E3:F3"/>
    <mergeCell ref="E4:F4"/>
    <mergeCell ref="E5:F5"/>
    <mergeCell ref="E6:F6"/>
    <mergeCell ref="E7:F7"/>
    <mergeCell ref="E57:F57"/>
    <mergeCell ref="E58:F58"/>
    <mergeCell ref="E59:F59"/>
    <mergeCell ref="E60:F60"/>
    <mergeCell ref="E50:F50"/>
    <mergeCell ref="E51:F51"/>
    <mergeCell ref="E52:F52"/>
    <mergeCell ref="E53:F53"/>
    <mergeCell ref="E54:F54"/>
    <mergeCell ref="E55:F55"/>
    <mergeCell ref="E56:F56"/>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3" r:id="rId1"/>
    <hyperlink ref="E40" r:id="rId2"/>
    <hyperlink ref="E42"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90"/>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90"/>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90"/>
    </row>
    <row r="13" spans="1:61" ht="18.75" thickBot="1" x14ac:dyDescent="0.3">
      <c r="A13" s="189" t="s">
        <v>11</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90"/>
    </row>
    <row r="14" spans="1:61" ht="15.75" thickBot="1" x14ac:dyDescent="0.35">
      <c r="A14" s="103"/>
      <c r="B14" s="104"/>
      <c r="C14" s="104"/>
      <c r="D14" s="104"/>
      <c r="E14" s="192" t="s">
        <v>35</v>
      </c>
      <c r="F14" s="192"/>
      <c r="G14" s="192"/>
      <c r="H14" s="192"/>
      <c r="I14" s="104"/>
      <c r="J14" s="104"/>
      <c r="K14" s="193" t="s">
        <v>23</v>
      </c>
      <c r="L14" s="193"/>
      <c r="M14" s="193"/>
      <c r="N14" s="193"/>
      <c r="O14" s="129"/>
      <c r="P14" s="129"/>
      <c r="Q14" s="192" t="s">
        <v>36</v>
      </c>
      <c r="R14" s="192"/>
      <c r="S14" s="192"/>
      <c r="T14" s="192"/>
      <c r="U14" s="104"/>
      <c r="V14" s="104"/>
      <c r="W14" s="193" t="s">
        <v>24</v>
      </c>
      <c r="X14" s="193"/>
      <c r="Y14" s="193"/>
      <c r="Z14" s="193"/>
      <c r="AA14" s="129"/>
      <c r="AB14" s="129"/>
      <c r="AC14" s="192" t="s">
        <v>37</v>
      </c>
      <c r="AD14" s="192"/>
      <c r="AE14" s="192"/>
      <c r="AF14" s="192"/>
      <c r="AG14" s="104"/>
      <c r="AH14" s="104"/>
      <c r="AI14" s="193" t="s">
        <v>25</v>
      </c>
      <c r="AJ14" s="193"/>
      <c r="AK14" s="193"/>
      <c r="AL14" s="193"/>
      <c r="AM14" s="129"/>
      <c r="AN14" s="129"/>
      <c r="AO14" s="192" t="s">
        <v>38</v>
      </c>
      <c r="AP14" s="192"/>
      <c r="AQ14" s="192"/>
      <c r="AR14" s="192"/>
      <c r="AS14" s="104"/>
      <c r="AT14" s="104"/>
      <c r="AU14" s="193" t="s">
        <v>26</v>
      </c>
      <c r="AV14" s="193"/>
      <c r="AW14" s="193"/>
      <c r="AX14" s="193"/>
      <c r="AY14" s="129"/>
      <c r="AZ14" s="129"/>
      <c r="BA14" s="192" t="s">
        <v>39</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4" t="s">
        <v>13</v>
      </c>
      <c r="F2" s="235"/>
      <c r="G2" s="46"/>
    </row>
    <row r="3" spans="1:7" s="52" customFormat="1" x14ac:dyDescent="0.3">
      <c r="A3" s="48"/>
      <c r="B3" s="49"/>
      <c r="C3" s="153" t="str">
        <f xml:space="preserve"> IF(B3="","",setValueToTime(B3))</f>
        <v/>
      </c>
      <c r="D3" s="50"/>
      <c r="E3" s="226"/>
      <c r="F3" s="227"/>
      <c r="G3" s="51"/>
    </row>
    <row r="4" spans="1:7" s="52" customFormat="1" x14ac:dyDescent="0.3">
      <c r="A4" s="53"/>
      <c r="B4" s="54"/>
      <c r="C4" s="154" t="str">
        <f t="shared" ref="C4:C10" si="0" xml:space="preserve"> IF(B4="","",setValueToTime(B4))</f>
        <v/>
      </c>
      <c r="D4" s="55"/>
      <c r="E4" s="218"/>
      <c r="F4" s="219"/>
      <c r="G4" s="51"/>
    </row>
    <row r="5" spans="1:7" s="52" customFormat="1" x14ac:dyDescent="0.3">
      <c r="A5" s="53"/>
      <c r="B5" s="54"/>
      <c r="C5" s="154" t="str">
        <f t="shared" si="0"/>
        <v/>
      </c>
      <c r="D5" s="55"/>
      <c r="E5" s="218"/>
      <c r="F5" s="219"/>
      <c r="G5" s="51"/>
    </row>
    <row r="6" spans="1:7" s="52" customFormat="1" x14ac:dyDescent="0.3">
      <c r="A6" s="53"/>
      <c r="B6" s="54"/>
      <c r="C6" s="154" t="str">
        <f t="shared" si="0"/>
        <v/>
      </c>
      <c r="D6" s="55"/>
      <c r="E6" s="218"/>
      <c r="F6" s="219"/>
      <c r="G6" s="51"/>
    </row>
    <row r="7" spans="1:7" s="52" customFormat="1" x14ac:dyDescent="0.3">
      <c r="A7" s="54"/>
      <c r="B7" s="54"/>
      <c r="C7" s="155" t="str">
        <f t="shared" si="0"/>
        <v/>
      </c>
      <c r="D7" s="55"/>
      <c r="E7" s="218"/>
      <c r="F7" s="219"/>
      <c r="G7" s="51"/>
    </row>
    <row r="8" spans="1:7" s="52" customFormat="1" x14ac:dyDescent="0.3">
      <c r="A8" s="54"/>
      <c r="B8" s="54"/>
      <c r="C8" s="155" t="str">
        <f t="shared" si="0"/>
        <v/>
      </c>
      <c r="D8" s="55"/>
      <c r="E8" s="218"/>
      <c r="F8" s="219"/>
      <c r="G8" s="51"/>
    </row>
    <row r="9" spans="1:7" s="52" customFormat="1" x14ac:dyDescent="0.3">
      <c r="A9" s="54"/>
      <c r="B9" s="54"/>
      <c r="C9" s="155" t="str">
        <f t="shared" si="0"/>
        <v/>
      </c>
      <c r="D9" s="55"/>
      <c r="E9" s="218"/>
      <c r="F9" s="219"/>
      <c r="G9" s="51"/>
    </row>
    <row r="10" spans="1:7" s="52" customFormat="1" ht="15" thickBot="1" x14ac:dyDescent="0.35">
      <c r="A10" s="56"/>
      <c r="B10" s="56"/>
      <c r="C10" s="156" t="str">
        <f t="shared" si="0"/>
        <v/>
      </c>
      <c r="D10" s="57"/>
      <c r="E10" s="220"/>
      <c r="F10" s="221"/>
      <c r="G10" s="51"/>
    </row>
    <row r="11" spans="1:7" s="52" customFormat="1" ht="15" thickBot="1" x14ac:dyDescent="0.35">
      <c r="A11" s="111" t="s">
        <v>28</v>
      </c>
      <c r="B11" s="84">
        <f>SUM(B3:B10)</f>
        <v>0</v>
      </c>
      <c r="C11" s="111" t="str">
        <f xml:space="preserve"> setValueToTime(B11)</f>
        <v>0h</v>
      </c>
      <c r="D11" s="120"/>
      <c r="E11" s="232"/>
      <c r="F11" s="233"/>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4" t="s">
        <v>13</v>
      </c>
      <c r="F2" s="225"/>
      <c r="G2" s="46"/>
    </row>
    <row r="3" spans="1:7" s="52" customFormat="1" x14ac:dyDescent="0.3">
      <c r="A3" s="48"/>
      <c r="B3" s="49"/>
      <c r="C3" s="153" t="str">
        <f xml:space="preserve"> IF(B3="","",setValueToTime(B3))</f>
        <v/>
      </c>
      <c r="D3" s="50"/>
      <c r="E3" s="226"/>
      <c r="F3" s="227"/>
      <c r="G3" s="51"/>
    </row>
    <row r="4" spans="1:7" s="52" customFormat="1" x14ac:dyDescent="0.3">
      <c r="A4" s="53"/>
      <c r="B4" s="54"/>
      <c r="C4" s="154" t="str">
        <f t="shared" ref="C4:C10" si="0" xml:space="preserve"> IF(B4="","",setValueToTime(B4))</f>
        <v/>
      </c>
      <c r="D4" s="55"/>
      <c r="E4" s="218"/>
      <c r="F4" s="219"/>
      <c r="G4" s="51"/>
    </row>
    <row r="5" spans="1:7" s="52" customFormat="1" x14ac:dyDescent="0.3">
      <c r="A5" s="53"/>
      <c r="B5" s="54"/>
      <c r="C5" s="154" t="str">
        <f t="shared" si="0"/>
        <v/>
      </c>
      <c r="D5" s="55"/>
      <c r="E5" s="218"/>
      <c r="F5" s="219"/>
      <c r="G5" s="51"/>
    </row>
    <row r="6" spans="1:7" s="52" customFormat="1" x14ac:dyDescent="0.3">
      <c r="A6" s="53"/>
      <c r="B6" s="54"/>
      <c r="C6" s="154" t="str">
        <f t="shared" si="0"/>
        <v/>
      </c>
      <c r="D6" s="55"/>
      <c r="E6" s="218"/>
      <c r="F6" s="219"/>
      <c r="G6" s="51"/>
    </row>
    <row r="7" spans="1:7" s="52" customFormat="1" x14ac:dyDescent="0.3">
      <c r="A7" s="54"/>
      <c r="B7" s="54"/>
      <c r="C7" s="155" t="str">
        <f t="shared" si="0"/>
        <v/>
      </c>
      <c r="D7" s="55"/>
      <c r="E7" s="218"/>
      <c r="F7" s="219"/>
      <c r="G7" s="51"/>
    </row>
    <row r="8" spans="1:7" s="52" customFormat="1" x14ac:dyDescent="0.3">
      <c r="A8" s="54"/>
      <c r="B8" s="54"/>
      <c r="C8" s="155" t="str">
        <f t="shared" si="0"/>
        <v/>
      </c>
      <c r="D8" s="55"/>
      <c r="E8" s="218"/>
      <c r="F8" s="219"/>
      <c r="G8" s="51"/>
    </row>
    <row r="9" spans="1:7" s="52" customFormat="1" x14ac:dyDescent="0.3">
      <c r="A9" s="54"/>
      <c r="B9" s="54"/>
      <c r="C9" s="155" t="str">
        <f t="shared" si="0"/>
        <v/>
      </c>
      <c r="D9" s="55"/>
      <c r="E9" s="218"/>
      <c r="F9" s="219"/>
      <c r="G9" s="51"/>
    </row>
    <row r="10" spans="1:7" s="52" customFormat="1" ht="15" thickBot="1" x14ac:dyDescent="0.35">
      <c r="A10" s="56"/>
      <c r="B10" s="56"/>
      <c r="C10" s="156" t="str">
        <f t="shared" si="0"/>
        <v/>
      </c>
      <c r="D10" s="57"/>
      <c r="E10" s="220"/>
      <c r="F10" s="221"/>
      <c r="G10" s="51"/>
    </row>
    <row r="11" spans="1:7" s="52" customFormat="1" ht="15" thickBot="1" x14ac:dyDescent="0.35">
      <c r="A11" s="163" t="s">
        <v>28</v>
      </c>
      <c r="B11" s="83">
        <f>SUM(B3:B10)</f>
        <v>0</v>
      </c>
      <c r="C11" s="163" t="str">
        <f xml:space="preserve"> setValueToTime(B11)</f>
        <v>0h</v>
      </c>
      <c r="D11" s="121"/>
      <c r="E11" s="222"/>
      <c r="F11" s="22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2023-12-05T15:32:01Z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